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  <sheet sheetId="2" name="Daily P&amp;L" state="visible" r:id="rId5"/>
    <sheet sheetId="3" name="Risk calculator" state="visible" r:id="rId6"/>
    <sheet sheetId="4" name="Trade log" state="visible" r:id="rId7"/>
    <sheet sheetId="5" name="Loss review" state="visible" r:id="rId8"/>
    <sheet sheetId="6" name="Weekly" state="visible" r:id="rId9"/>
    <sheet sheetId="7" name="Rules" state="visible" r:id="rId10"/>
  </sheets>
  <calcPr calcId="171027"/>
</workbook>
</file>

<file path=xl/sharedStrings.xml><?xml version="1.0" encoding="utf-8"?>
<sst xmlns="http://schemas.openxmlformats.org/spreadsheetml/2006/main" count="269" uniqueCount="220">
  <si>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</si>
  <si>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</si>
  <si>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</si>
  <si>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</si>
  <si>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</si>
  <si>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</si>
  <si>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</si>
  <si>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</si>
  <si>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</si>
  <si>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</si>
  <si>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</si>
  <si>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</si>
  <si>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</si>
  <si>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</si>
  <si>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</si>
  <si>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</si>
  <si>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</si>
  <si>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</si>
  <si>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</si>
  <si>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</si>
  <si>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</si>
  <si>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</si>
  <si>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</si>
  <si>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</si>
  <si>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</si>
  <si>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</si>
  <si>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</si>
  <si>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</si>
  <si>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</si>
  <si>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</si>
  <si>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</si>
  <si>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</si>
  <si>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</si>
  <si>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</si>
  <si>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</si>
  <si>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</si>
  <si>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</si>
  <si>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</si>
  <si>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</si>
  <si>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</si>
  <si>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</si>
  <si>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</si>
  <si>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</si>
  <si>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</si>
  <si>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</si>
  <si>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</si>
  <si>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</si>
  <si>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</si>
  <si>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</si>
  <si>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</si>
  <si>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</si>
  <si>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</si>
  <si>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</si>
  <si>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</si>
  <si>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</si>
  <si>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</si>
  <si>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</si>
  <si>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</si>
  <si>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</si>
  <si>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</si>
  <si>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</si>
  <si>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</si>
  <si>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</si>
  <si>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</si>
  <si>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</si>
  <si>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RISK &amp; POSITION SIZE</t>
  </si>
  <si>
    <t>Gold cells = edit · Size from dollars you can lose · Educational only · Not financial advice · @tradersveezy</t>
  </si>
  <si>
    <t>01 · ACCOUNT</t>
  </si>
  <si>
    <t>02 · LEVELS</t>
  </si>
  <si>
    <t>THE MATH</t>
  </si>
  <si>
    <t>Account size $</t>
  </si>
  <si>
    <t>Direction</t>
  </si>
  <si>
    <t>LONG</t>
  </si>
  <si>
    <t>Risk $</t>
  </si>
  <si>
    <t>Account × Risk %</t>
  </si>
  <si>
    <t>Risk per trade %</t>
  </si>
  <si>
    <t>Entry</t>
  </si>
  <si>
    <t>Stop dist</t>
  </si>
  <si>
    <t>|Entry − Stop|</t>
  </si>
  <si>
    <t>Max daily loss %</t>
  </si>
  <si>
    <t>Stop (invalidation)</t>
  </si>
  <si>
    <t>Size</t>
  </si>
  <si>
    <t>Risk $ ÷ Stop dist</t>
  </si>
  <si>
    <t>Playbook default: ~1% risk · hard stop before you size</t>
  </si>
  <si>
    <t>Target</t>
  </si>
  <si>
    <t>R:R</t>
  </si>
  <si>
    <t>Reward dist ÷ Stop dist</t>
  </si>
  <si>
    <t>Stop past the level that kills the idea — not a random %</t>
  </si>
  <si>
    <t>Reward $</t>
  </si>
  <si>
    <t>Risk $ × R:R</t>
  </si>
  <si>
    <t>03 · RISK BUDGET</t>
  </si>
  <si>
    <t>04 · POSITION</t>
  </si>
  <si>
    <t>DESK RULES</t>
  </si>
  <si>
    <t>Dollars at risk</t>
  </si>
  <si>
    <t>Stop distance</t>
  </si>
  <si>
    <t>01  Size from dollars you can lose — never from “how many coins feel right.”</t>
  </si>
  <si>
    <t>Max daily loss $</t>
  </si>
  <si>
    <t>Stop distance %</t>
  </si>
  <si>
    <t>02  Under ~1.5R is usually a pass unless the playbook says otherwise.</t>
  </si>
  <si>
    <t>Trades left today @ risk</t>
  </si>
  <si>
    <t>Position size (units)</t>
  </si>
  <si>
    <t>03  Widen the stop → shrink size. Never widen the stop to keep size.</t>
  </si>
  <si>
    <t>Hit max daily loss → stop trading. Process over vibes.</t>
  </si>
  <si>
    <t>Notional $</t>
  </si>
  <si>
    <t>04  Max daily loss ends the session. No revenge trades.</t>
  </si>
  <si>
    <t>Reward distance</t>
  </si>
  <si>
    <t>05  Line: You can't regret a well thought out plan.</t>
  </si>
  <si>
    <t>R : R</t>
  </si>
  <si>
    <t>Reward $ if hit</t>
  </si>
  <si>
    <t>Verdict</t>
  </si>
  <si>
    <t>05 · LEVEL CHECK</t>
  </si>
  <si>
    <t>06 · RISK LADDER · same stop, different risk %</t>
  </si>
  <si>
    <t>Risk %</t>
  </si>
  <si>
    <t>$ at risk</t>
  </si>
  <si>
    <t>Position size</t>
  </si>
  <si>
    <t>If target hits</t>
  </si>
  <si>
    <t>07 · QUICK PRESETS · tap a risk %, then size updates above</t>
  </si>
  <si>
    <t>Half percent — tight days</t>
  </si>
  <si>
    <t>Standard playbook</t>
  </si>
  <si>
    <t>High conviction only</t>
  </si>
  <si>
    <t>Stretch — rare</t>
  </si>
  <si>
    <t>Copy a preset % into B6 (Risk per trade). Size, notional, and ladder highlight follow.</t>
  </si>
  <si>
    <t>Example levels pre-filled (100 → 97 stop → 106 target). Replace with your trade. Account pulls from Daily P&amp;L starting balance when that tab exists.</t>
  </si>
  <si>
    <t>COURSE 05 · TRADE LOG</t>
  </si>
  <si>
    <t>Fill down as you go · Freeze header stays visible · Educational only · Not financial advice · @tradersveezy</t>
  </si>
  <si>
    <t>Pair</t>
  </si>
  <si>
    <t>Side</t>
  </si>
  <si>
    <t>Higher TF</t>
  </si>
  <si>
    <t>Entry TF</t>
  </si>
  <si>
    <t>Structure</t>
  </si>
  <si>
    <t>Level</t>
  </si>
  <si>
    <t>Entry type</t>
  </si>
  <si>
    <t>Stop</t>
  </si>
  <si>
    <t>Account $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</si>
  <si>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</si>
  <si>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</si>
  <si>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</si>
  <si>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</si>
  <si>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</si>
  <si>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</si>
  <si>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</si>
  <si>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</si>
  <si>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</si>
  <si>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</si>
  <si>
    <t>COURSE 05 · LOSS REVIEW</t>
  </si>
  <si>
    <t>Idea in one line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</si>
  <si>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</si>
  <si>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</si>
  <si>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</si>
  <si>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</si>
  <si>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</si>
  <si>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</si>
  <si>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</si>
  <si>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</si>
  <si>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</si>
  <si>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</si>
  <si>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</si>
  <si>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</si>
  <si>
    <t>COURSE 05 · WEEKLY CHECK-IN</t>
  </si>
  <si>
    <t>Week of</t>
  </si>
  <si>
    <t>Trades</t>
  </si>
  <si>
    <t>Good skips</t>
  </si>
  <si>
    <t>Win %</t>
  </si>
  <si>
    <t>Avg R</t>
  </si>
  <si>
    <t>Best trade</t>
  </si>
  <si>
    <t>Worst slip</t>
  </si>
  <si>
    <t>Checklist %</t>
  </si>
  <si>
    <t>Revenge / moved stop</t>
  </si>
  <si>
    <t>Review time</t>
  </si>
  <si>
    <t>Keep</t>
  </si>
  <si>
    <t>Stop doing</t>
  </si>
  <si>
    <t>Energy 1-5</t>
  </si>
  <si>
    <t>COURSE 05 · PLAYBOOK RULES</t>
  </si>
  <si>
    <t>Do this / don’t · Pin beside the desk · Educational only · Not financial advice</t>
  </si>
  <si>
    <t>Theme</t>
  </si>
  <si>
    <t>Do this</t>
  </si>
  <si>
    <t>Don't</t>
  </si>
  <si>
    <t>Trend</t>
  </si>
  <si>
    <t>Higher highs and lows; for a long stay above 21 / 55 / 200 on the entry TF</t>
  </si>
  <si>
    <t>Wait forever for a perfect fill on a strong day</t>
  </si>
  <si>
    <t>Range</t>
  </si>
  <si>
    <t>Trade the edges of value - especially a VAL reclaim</t>
  </si>
  <si>
    <t>Chop the middle of value for no reason</t>
  </si>
  <si>
    <t>Flip</t>
  </si>
  <si>
    <t>Break then close back; wait for a few confirms</t>
  </si>
  <si>
    <t>Size up on the first reclaim candle</t>
  </si>
  <si>
    <t>Levels</t>
  </si>
  <si>
    <t>Clear in about 15 seconds or skip</t>
  </si>
  <si>
    <t>Invent levels that need a long story</t>
  </si>
  <si>
    <t>Proof</t>
  </si>
  <si>
    <t>Stack EMAs / magnets / value; Fib only with other proof</t>
  </si>
  <si>
    <t>Treat a lone Fib as a real level</t>
  </si>
  <si>
    <t>Retest</t>
  </si>
  <si>
    <t>Break with closes then enter on the revisit</t>
  </si>
  <si>
    <t>Call every dip a retest</t>
  </si>
  <si>
    <t>EMA reclaim</t>
  </si>
  <si>
    <t>Strong push through then 2-3 holding closes</t>
  </si>
  <si>
    <t>Enter on one wick</t>
  </si>
  <si>
    <t>Breakout</t>
  </si>
  <si>
    <t>Rejects then break then sweep then reclaim</t>
  </si>
  <si>
    <t>Enter the first break alone</t>
  </si>
  <si>
    <t>Stops</t>
  </si>
  <si>
    <t>Hard stops; watch news</t>
  </si>
  <si>
    <t>Soft stops or chase past your plan</t>
  </si>
  <si>
    <t>Stop past the level that kills the idea</t>
  </si>
  <si>
    <t>Pick a random % stop</t>
  </si>
  <si>
    <t>ATR</t>
  </si>
  <si>
    <t>Use ATR to check stop distance vs noise</t>
  </si>
  <si>
    <t>Ignore the chart and only use 1x ATR</t>
  </si>
  <si>
    <t>Size = dollars you can lose / stop distance</t>
  </si>
  <si>
    <t>Revenge size or widen the stop to keep size</t>
  </si>
  <si>
    <t>Habits</t>
  </si>
  <si>
    <t>If you can't name the chart stay out</t>
  </si>
  <si>
    <t>Force a trade to feel busy</t>
  </si>
  <si>
    <t>Review</t>
  </si>
  <si>
    <t>Short review after a loss before the next risk</t>
  </si>
  <si>
    <t>Bury losers and move on</t>
  </si>
  <si>
    <t>Line</t>
  </si>
  <si>
    <t>You can't regret a well thought out plan.</t>
  </si>
  <si>
    <t>Educational only - not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</si>
</sst>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&quot;$&quot;#,##0.00"/>
    <numFmt numFmtId="166" formatCode="yyyy-mm-dd"/>
    <numFmt numFmtId="167" formatCode="0.0000"/>
    <numFmt numFmtId="168" formatCode="#,##0.0000"/>
  </numFmts>
  <fonts count="23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  <font>
      <color rgb="FF060606"/>
      <sz val="11"/>
      <name val="Arial Black"/>
    </font>
    <font>
      <b/>
      <color rgb="FF060606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060606"/>
      <sz val="13"/>
      <name val="Arial"/>
    </font>
    <font>
      <color rgb="FFF2F1EE"/>
      <sz val="10"/>
      <name val="Arial"/>
    </font>
    <font>
      <i/>
      <color rgb="FFA9A59D"/>
      <sz val="9"/>
      <name val="Arial"/>
    </font>
    <font>
      <color rgb="FFD8D4CC"/>
      <sz val="9"/>
      <name val="Arial"/>
    </font>
    <font>
      <b/>
      <color rgb="FFF2F1EE"/>
      <sz val="12"/>
      <name val="Arial"/>
    </font>
    <font>
      <color rgb="FFA9A59D"/>
      <sz val="8"/>
      <name val="Arial"/>
    </font>
    <font>
      <i/>
      <color rgb="FFD8D4CC"/>
      <sz val="9"/>
      <name val="Arial"/>
    </font>
    <font>
      <b/>
      <color rgb="FFE3B44A"/>
      <sz val="11"/>
      <name val="Arial"/>
    </font>
    <font>
      <color rgb="FFD9533B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  <fill>
      <patternFill patternType="solid">
        <fgColor rgb="FFF1FAF5"/>
      </patternFill>
    </fill>
    <fill>
      <patternFill patternType="solid">
        <fgColor rgb="FFE8F5EF"/>
      </patternFill>
    </fill>
    <fill>
      <patternFill patternType="solid">
        <fgColor rgb="FF4FB286"/>
      </patternFill>
    </fill>
    <fill>
      <patternFill patternType="solid">
        <fgColor rgb="FF0B0B0B"/>
      </patternFill>
    </fill>
    <fill>
      <patternFill patternType="solid">
        <fgColor rgb="FFD9533B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165" fontId="11" fillId="5" borderId="1" xfId="0" applyNumberFormat="1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vertical="center" wrapText="1"/>
    </xf>
    <xf numFmtId="165" fontId="7" fillId="5" borderId="4" xfId="0" applyNumberFormat="1" applyFont="1" applyFill="1" applyBorder="1" applyAlignment="1">
      <alignment vertical="center" wrapText="1"/>
    </xf>
    <xf numFmtId="165" fontId="4" fillId="4" borderId="4" xfId="0" applyNumberFormat="1" applyFont="1" applyFill="1" applyBorder="1" applyAlignment="1">
      <alignment vertical="center" wrapText="1"/>
    </xf>
    <xf numFmtId="165" fontId="12" fillId="5" borderId="4" xfId="0" applyNumberFormat="1" applyFont="1" applyFill="1" applyBorder="1" applyAlignment="1">
      <alignment vertical="center" wrapText="1"/>
    </xf>
    <xf numFmtId="10" fontId="7" fillId="5" borderId="4" xfId="0" applyNumberFormat="1" applyFont="1" applyFill="1" applyBorder="1" applyAlignment="1">
      <alignment vertical="center" wrapText="1"/>
    </xf>
    <xf numFmtId="165" fontId="7" fillId="7" borderId="4" xfId="0" applyNumberFormat="1" applyFont="1" applyFill="1" applyBorder="1" applyAlignment="1">
      <alignment vertical="center" wrapText="1"/>
    </xf>
    <xf numFmtId="165" fontId="7" fillId="6" borderId="4" xfId="0" applyNumberFormat="1" applyFont="1" applyFill="1" applyBorder="1" applyAlignment="1">
      <alignment vertical="center" wrapText="1"/>
    </xf>
    <xf numFmtId="165" fontId="12" fillId="6" borderId="4" xfId="0" applyNumberFormat="1" applyFont="1" applyFill="1" applyBorder="1" applyAlignment="1">
      <alignment vertical="center" wrapText="1"/>
    </xf>
    <xf numFmtId="10" fontId="7" fillId="6" borderId="4" xfId="0" applyNumberFormat="1" applyFont="1" applyFill="1" applyBorder="1" applyAlignment="1">
      <alignment vertical="center" wrapText="1"/>
    </xf>
    <xf numFmtId="165" fontId="7" fillId="8" borderId="4" xfId="0" applyNumberFormat="1" applyFont="1" applyFill="1" applyBorder="1" applyAlignment="1">
      <alignment vertical="center" wrapText="1"/>
    </xf>
    <xf numFmtId="165" fontId="11" fillId="9" borderId="1" xfId="0" applyNumberFormat="1" applyFont="1" applyFill="1" applyBorder="1" applyAlignment="1">
      <alignment horizontal="center" vertical="center"/>
    </xf>
    <xf numFmtId="1" fontId="11" fillId="5" borderId="1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13" fillId="5" borderId="4" xfId="0" applyNumberFormat="1" applyFont="1" applyFill="1" applyBorder="1" applyAlignment="1">
      <alignment horizontal="right" vertical="center"/>
    </xf>
    <xf numFmtId="165" fontId="13" fillId="6" borderId="4" xfId="0" applyNumberFormat="1" applyFont="1" applyFill="1" applyBorder="1" applyAlignment="1">
      <alignment horizontal="right" vertical="center"/>
    </xf>
    <xf numFmtId="0" fontId="10" fillId="2" borderId="1" xfId="0" applyFont="1" applyFill="1" applyBorder="1" applyAlignment="1">
      <alignment horizontal="left" vertical="center" indent="1"/>
    </xf>
    <xf numFmtId="165" fontId="14" fillId="4" borderId="3" xfId="0" applyNumberFormat="1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left" vertical="center" indent="1"/>
    </xf>
    <xf numFmtId="10" fontId="14" fillId="4" borderId="3" xfId="0" applyNumberFormat="1" applyFont="1" applyFill="1" applyBorder="1" applyAlignment="1">
      <alignment horizontal="center" vertical="center"/>
    </xf>
    <xf numFmtId="2" fontId="14" fillId="4" borderId="3" xfId="0" applyNumberFormat="1" applyFont="1" applyFill="1" applyBorder="1" applyAlignment="1">
      <alignment horizontal="center" vertical="center"/>
    </xf>
    <xf numFmtId="0" fontId="16" fillId="10" borderId="0" xfId="0" applyFont="1" applyFill="1" applyAlignment="1">
      <alignment horizontal="left" vertical="center" indent="1"/>
    </xf>
    <xf numFmtId="165" fontId="11" fillId="9" borderId="2" xfId="0" applyNumberFormat="1" applyFont="1" applyFill="1" applyBorder="1" applyAlignment="1">
      <alignment horizontal="center" vertical="center"/>
    </xf>
    <xf numFmtId="167" fontId="11" fillId="5" borderId="2" xfId="0" applyNumberFormat="1" applyFont="1" applyFill="1" applyBorder="1" applyAlignment="1">
      <alignment horizontal="center" vertical="center"/>
    </xf>
    <xf numFmtId="0" fontId="17" fillId="10" borderId="2" xfId="0" applyFont="1" applyFill="1" applyBorder="1" applyAlignment="1">
      <alignment vertical="center" wrapText="1" indent="1"/>
    </xf>
    <xf numFmtId="165" fontId="18" fillId="11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vertical="center" wrapText="1" indent="1"/>
    </xf>
    <xf numFmtId="1" fontId="11" fillId="5" borderId="2" xfId="0" applyNumberFormat="1" applyFont="1" applyFill="1" applyBorder="1" applyAlignment="1">
      <alignment horizontal="center" vertical="center"/>
    </xf>
    <xf numFmtId="168" fontId="11" fillId="4" borderId="2" xfId="0" applyNumberFormat="1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2" fontId="11" fillId="9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0" fontId="5" fillId="5" borderId="4" xfId="0" applyNumberFormat="1" applyFont="1" applyFill="1" applyBorder="1" applyAlignment="1">
      <alignment horizontal="center" vertical="center"/>
    </xf>
    <xf numFmtId="165" fontId="7" fillId="5" borderId="4" xfId="0" applyNumberFormat="1" applyFont="1" applyFill="1" applyBorder="1" applyAlignment="1">
      <alignment horizontal="center" vertical="center"/>
    </xf>
    <xf numFmtId="168" fontId="7" fillId="5" borderId="4" xfId="0" applyNumberFormat="1" applyFont="1" applyFill="1" applyBorder="1" applyAlignment="1">
      <alignment horizontal="center" vertical="center"/>
    </xf>
    <xf numFmtId="10" fontId="5" fillId="6" borderId="4" xfId="0" applyNumberFormat="1" applyFont="1" applyFill="1" applyBorder="1" applyAlignment="1">
      <alignment horizontal="center" vertical="center"/>
    </xf>
    <xf numFmtId="165" fontId="7" fillId="6" borderId="4" xfId="0" applyNumberFormat="1" applyFont="1" applyFill="1" applyBorder="1" applyAlignment="1">
      <alignment horizontal="center" vertical="center"/>
    </xf>
    <xf numFmtId="168" fontId="7" fillId="6" borderId="4" xfId="0" applyNumberFormat="1" applyFont="1" applyFill="1" applyBorder="1" applyAlignment="1">
      <alignment horizontal="center" vertical="center"/>
    </xf>
    <xf numFmtId="164" fontId="11" fillId="4" borderId="3" xfId="0" applyNumberFormat="1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 wrapText="1"/>
    </xf>
    <xf numFmtId="0" fontId="20" fillId="10" borderId="0" xfId="0" applyFont="1" applyFill="1"/>
    <xf numFmtId="0" fontId="3" fillId="10" borderId="0" xfId="0" applyFont="1" applyFill="1"/>
    <xf numFmtId="0" fontId="0" fillId="2" borderId="1" xfId="0" applyFill="1" applyBorder="1"/>
    <xf numFmtId="0" fontId="3" fillId="3" borderId="2" xfId="0" applyFont="1" applyFill="1" applyBorder="1"/>
    <xf numFmtId="0" fontId="21" fillId="2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 wrapText="1"/>
    </xf>
    <xf numFmtId="0" fontId="22" fillId="5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22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5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ont>
        <b/>
      </font>
      <fill>
        <patternFill patternType="solid">
          <bgColor rgb="FFE8D5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44</v>
      </c>
      <c r="C1" s="2"/>
      <c r="D1" s="2"/>
      <c r="E1" s="2"/>
      <c r="F1" s="2"/>
      <c r="G1" s="2"/>
      <c r="H1" s="2"/>
      <c r="I1" s="2"/>
      <c r="K1" s="12" t="s">
        <v>45</v>
      </c>
      <c r="L1" s="12"/>
      <c r="N1" s="13" t="s">
        <v>46</v>
      </c>
    </row>
    <row r="2" ht="20" customHeight="1" spans="1:14" x14ac:dyDescent="0.25">
      <c r="A2" s="3" t="s">
        <v>47</v>
      </c>
      <c r="B2" s="3"/>
      <c r="C2" s="3"/>
      <c r="D2" s="3"/>
      <c r="E2" s="3"/>
      <c r="F2" s="3"/>
      <c r="G2" s="3"/>
      <c r="H2" s="3"/>
      <c r="I2" s="3"/>
      <c r="K2" s="14" t="s">
        <v>48</v>
      </c>
      <c r="L2" s="15">
        <v>0.02</v>
      </c>
      <c r="N2" s="16"/>
    </row>
    <row r="3" ht="26" customHeight="1" spans="1:14" x14ac:dyDescent="0.25">
      <c r="A3" s="4" t="s">
        <v>49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4" t="s">
        <v>7</v>
      </c>
      <c r="K3" s="14" t="s">
        <v>50</v>
      </c>
      <c r="L3" s="17">
        <v>1000</v>
      </c>
      <c r="N3" s="16"/>
    </row>
    <row r="4" ht="24" customHeight="1" spans="1:14" x14ac:dyDescent="0.25">
      <c r="A4" s="18">
        <v>46315.384115347224</v>
      </c>
      <c r="B4" s="19">
        <f>IF($L$3="","",$L$3)</f>
      </c>
      <c r="C4" s="20">
        <v>1020</v>
      </c>
      <c r="D4" s="21">
        <f>IF(B4="","",B4*(1+$L$2))</f>
      </c>
      <c r="E4" s="22">
        <f>IF(OR(B4="",C4=""),"",(C4-B4)/B4)</f>
      </c>
      <c r="F4" s="23">
        <f>IF(OR(B4="",C4=""),"",C4-B4)</f>
      </c>
      <c r="G4" s="19">
        <f>IF(B4="","",B4*$L$2)</f>
      </c>
      <c r="H4" s="19">
        <f>IF(OR(B4="",C4=""),"",F4-G4)</f>
      </c>
      <c r="I4" s="7" t="s">
        <v>57</v>
      </c>
      <c r="N4" s="16"/>
    </row>
    <row r="5" ht="24" customHeight="1" spans="1:14" x14ac:dyDescent="0.25">
      <c r="A5" s="10"/>
      <c r="B5" s="24">
        <f>IF(C4="","",C4)</f>
      </c>
      <c r="C5" s="20"/>
      <c r="D5" s="25">
        <f>IF(B5="","",B5*(1+$L$2))</f>
      </c>
      <c r="E5" s="26">
        <f>IF(OR(B5="",C5=""),"",(C5-B5)/B5)</f>
      </c>
      <c r="F5" s="27">
        <f>IF(OR(B5="",C5=""),"",C5-B5)</f>
      </c>
      <c r="G5" s="24">
        <f>IF(B5="","",B5*$L$2)</f>
      </c>
      <c r="H5" s="24">
        <f>IF(OR(B5="",C5=""),"",F5-G5)</f>
      </c>
      <c r="I5" s="10"/>
      <c r="K5" s="14" t="s">
        <v>58</v>
      </c>
      <c r="L5" s="28">
        <f>SUMIF(F4:F63,"&lt;&gt;")</f>
      </c>
      <c r="N5" s="16"/>
    </row>
    <row r="6" ht="24" customHeight="1" spans="1:14" x14ac:dyDescent="0.25">
      <c r="A6" s="7"/>
      <c r="B6" s="19">
        <f>IF(C5="","",C5)</f>
      </c>
      <c r="C6" s="20"/>
      <c r="D6" s="21">
        <f>IF(B6="","",B6*(1+$L$2))</f>
      </c>
      <c r="E6" s="22">
        <f>IF(OR(B6="",C6=""),"",(C6-B6)/B6)</f>
      </c>
      <c r="F6" s="23">
        <f>IF(OR(B6="",C6=""),"",C6-B6)</f>
      </c>
      <c r="G6" s="19">
        <f>IF(B6="","",B6*$L$2)</f>
      </c>
      <c r="H6" s="19">
        <f>IF(OR(B6="",C6=""),"",F6-G6)</f>
      </c>
      <c r="I6" s="7"/>
      <c r="K6" s="14" t="s">
        <v>59</v>
      </c>
      <c r="L6" s="17">
        <f>IFERROR(AVERAGEIF(F4:F63,"&lt;&gt;"),0)</f>
      </c>
      <c r="N6" s="16"/>
    </row>
    <row r="7" ht="24" customHeight="1" spans="1:14" x14ac:dyDescent="0.25">
      <c r="A7" s="10"/>
      <c r="B7" s="24">
        <f>IF(C6="","",C6)</f>
      </c>
      <c r="C7" s="20"/>
      <c r="D7" s="25">
        <f>IF(B7="","",B7*(1+$L$2))</f>
      </c>
      <c r="E7" s="26">
        <f>IF(OR(B7="",C7=""),"",(C7-B7)/B7)</f>
      </c>
      <c r="F7" s="27">
        <f>IF(OR(B7="",C7=""),"",C7-B7)</f>
      </c>
      <c r="G7" s="24">
        <f>IF(B7="","",B7*$L$2)</f>
      </c>
      <c r="H7" s="24">
        <f>IF(OR(B7="",C7=""),"",F7-G7)</f>
      </c>
      <c r="I7" s="10"/>
      <c r="K7" s="14" t="s">
        <v>60</v>
      </c>
      <c r="L7" s="29">
        <f>COUNTA(A4:A63)</f>
      </c>
      <c r="N7" s="16"/>
    </row>
    <row r="8" ht="24" customHeight="1" spans="1:14" x14ac:dyDescent="0.25">
      <c r="A8" s="7"/>
      <c r="B8" s="19">
        <f>IF(C7="","",C7)</f>
      </c>
      <c r="C8" s="20"/>
      <c r="D8" s="21">
        <f>IF(B8="","",B8*(1+$L$2))</f>
      </c>
      <c r="E8" s="22">
        <f>IF(OR(B8="",C8=""),"",(C8-B8)/B8)</f>
      </c>
      <c r="F8" s="23">
        <f>IF(OR(B8="",C8=""),"",C8-B8)</f>
      </c>
      <c r="G8" s="19">
        <f>IF(B8="","",B8*$L$2)</f>
      </c>
      <c r="H8" s="19">
        <f>IF(OR(B8="",C8=""),"",F8-G8)</f>
      </c>
      <c r="I8" s="7"/>
      <c r="K8" s="14" t="s">
        <v>61</v>
      </c>
      <c r="L8" s="29">
        <f>COUNTIF(H4:H63,"&gt;0")</f>
      </c>
      <c r="N8" s="16"/>
    </row>
    <row r="9" ht="24" customHeight="1" spans="1:14" x14ac:dyDescent="0.25">
      <c r="A9" s="10"/>
      <c r="B9" s="24">
        <f>IF(C8="","",C8)</f>
      </c>
      <c r="C9" s="20"/>
      <c r="D9" s="25">
        <f>IF(B9="","",B9*(1+$L$2))</f>
      </c>
      <c r="E9" s="26">
        <f>IF(OR(B9="",C9=""),"",(C9-B9)/B9)</f>
      </c>
      <c r="F9" s="27">
        <f>IF(OR(B9="",C9=""),"",C9-B9)</f>
      </c>
      <c r="G9" s="24">
        <f>IF(B9="","",B9*$L$2)</f>
      </c>
      <c r="H9" s="24">
        <f>IF(OR(B9="",C9=""),"",F9-G9)</f>
      </c>
      <c r="I9" s="10"/>
      <c r="N9" s="16"/>
    </row>
    <row r="10" ht="24" customHeight="1" spans="1:14" x14ac:dyDescent="0.25">
      <c r="A10" s="7"/>
      <c r="B10" s="19">
        <f>IF(C9="","",C9)</f>
      </c>
      <c r="C10" s="20"/>
      <c r="D10" s="21">
        <f>IF(B10="","",B10*(1+$L$2))</f>
      </c>
      <c r="E10" s="22">
        <f>IF(OR(B10="",C10=""),"",(C10-B10)/B10)</f>
      </c>
      <c r="F10" s="23">
        <f>IF(OR(B10="",C10=""),"",C10-B10)</f>
      </c>
      <c r="G10" s="19">
        <f>IF(B10="","",B10*$L$2)</f>
      </c>
      <c r="H10" s="19">
        <f>IF(OR(B10="",C10=""),"",F10-G10)</f>
      </c>
      <c r="I10" s="7"/>
      <c r="K10" s="30" t="s">
        <v>62</v>
      </c>
      <c r="L10" s="30"/>
      <c r="N10" s="16"/>
    </row>
    <row r="11" ht="24" customHeight="1" spans="1:14" x14ac:dyDescent="0.25">
      <c r="A11" s="10"/>
      <c r="B11" s="24">
        <f>IF(C10="","",C10)</f>
      </c>
      <c r="C11" s="20"/>
      <c r="D11" s="25">
        <f>IF(B11="","",B11*(1+$L$2))</f>
      </c>
      <c r="E11" s="26">
        <f>IF(OR(B11="",C11=""),"",(C11-B11)/B11)</f>
      </c>
      <c r="F11" s="27">
        <f>IF(OR(B11="",C11=""),"",C11-B11)</f>
      </c>
      <c r="G11" s="24">
        <f>IF(B11="","",B11*$L$2)</f>
      </c>
      <c r="H11" s="24">
        <f>IF(OR(B11="",C11=""),"",F11-G11)</f>
      </c>
      <c r="I11" s="10"/>
      <c r="K11" s="14" t="s">
        <v>63</v>
      </c>
      <c r="L11" s="30" t="s">
        <v>64</v>
      </c>
      <c r="N11" s="16"/>
    </row>
    <row r="12" ht="24" customHeight="1" spans="1:14" x14ac:dyDescent="0.25">
      <c r="A12" s="7"/>
      <c r="B12" s="19">
        <f>IF(C11="","",C11)</f>
      </c>
      <c r="C12" s="20"/>
      <c r="D12" s="21">
        <f>IF(B12="","",B12*(1+$L$2))</f>
      </c>
      <c r="E12" s="22">
        <f>IF(OR(B12="",C12=""),"",(C12-B12)/B12)</f>
      </c>
      <c r="F12" s="23">
        <f>IF(OR(B12="",C12=""),"",C12-B12)</f>
      </c>
      <c r="G12" s="19">
        <f>IF(B12="","",B12*$L$2)</f>
      </c>
      <c r="H12" s="19">
        <f>IF(OR(B12="",C12=""),"",F12-G12)</f>
      </c>
      <c r="I12" s="7"/>
      <c r="K12" s="31">
        <v>1</v>
      </c>
      <c r="L12" s="32">
        <f>$L$3*((1+$L$2)^1)</f>
      </c>
      <c r="N12" s="16"/>
    </row>
    <row r="13" ht="24" customHeight="1" spans="1:12" x14ac:dyDescent="0.25">
      <c r="A13" s="10"/>
      <c r="B13" s="24">
        <f>IF(C12="","",C12)</f>
      </c>
      <c r="C13" s="20"/>
      <c r="D13" s="25">
        <f>IF(B13="","",B13*(1+$L$2))</f>
      </c>
      <c r="E13" s="26">
        <f>IF(OR(B13="",C13=""),"",(C13-B13)/B13)</f>
      </c>
      <c r="F13" s="27">
        <f>IF(OR(B13="",C13=""),"",C13-B13)</f>
      </c>
      <c r="G13" s="24">
        <f>IF(B13="","",B13*$L$2)</f>
      </c>
      <c r="H13" s="24">
        <f>IF(OR(B13="",C13=""),"",F13-G13)</f>
      </c>
      <c r="I13" s="10"/>
      <c r="K13" s="31">
        <v>2</v>
      </c>
      <c r="L13" s="33">
        <f>$L$3*((1+$L$2)^2)</f>
      </c>
    </row>
    <row r="14" ht="24" customHeight="1" spans="1:12" x14ac:dyDescent="0.25">
      <c r="A14" s="7"/>
      <c r="B14" s="19">
        <f>IF(C13="","",C13)</f>
      </c>
      <c r="C14" s="20"/>
      <c r="D14" s="21">
        <f>IF(B14="","",B14*(1+$L$2))</f>
      </c>
      <c r="E14" s="22">
        <f>IF(OR(B14="",C14=""),"",(C14-B14)/B14)</f>
      </c>
      <c r="F14" s="23">
        <f>IF(OR(B14="",C14=""),"",C14-B14)</f>
      </c>
      <c r="G14" s="19">
        <f>IF(B14="","",B14*$L$2)</f>
      </c>
      <c r="H14" s="19">
        <f>IF(OR(B14="",C14=""),"",F14-G14)</f>
      </c>
      <c r="I14" s="7"/>
      <c r="K14" s="31">
        <v>3</v>
      </c>
      <c r="L14" s="32">
        <f>$L$3*((1+$L$2)^3)</f>
      </c>
    </row>
    <row r="15" ht="24" customHeight="1" spans="1:12" x14ac:dyDescent="0.25">
      <c r="A15" s="10"/>
      <c r="B15" s="24">
        <f>IF(C14="","",C14)</f>
      </c>
      <c r="C15" s="20"/>
      <c r="D15" s="25">
        <f>IF(B15="","",B15*(1+$L$2))</f>
      </c>
      <c r="E15" s="26">
        <f>IF(OR(B15="",C15=""),"",(C15-B15)/B15)</f>
      </c>
      <c r="F15" s="27">
        <f>IF(OR(B15="",C15=""),"",C15-B15)</f>
      </c>
      <c r="G15" s="24">
        <f>IF(B15="","",B15*$L$2)</f>
      </c>
      <c r="H15" s="24">
        <f>IF(OR(B15="",C15=""),"",F15-G15)</f>
      </c>
      <c r="I15" s="10"/>
      <c r="K15" s="31">
        <v>4</v>
      </c>
      <c r="L15" s="33">
        <f>$L$3*((1+$L$2)^4)</f>
      </c>
    </row>
    <row r="16" ht="24" customHeight="1" spans="1:12" x14ac:dyDescent="0.25">
      <c r="A16" s="7"/>
      <c r="B16" s="19">
        <f>IF(C15="","",C15)</f>
      </c>
      <c r="C16" s="20"/>
      <c r="D16" s="21">
        <f>IF(B16="","",B16*(1+$L$2))</f>
      </c>
      <c r="E16" s="22">
        <f>IF(OR(B16="",C16=""),"",(C16-B16)/B16)</f>
      </c>
      <c r="F16" s="23">
        <f>IF(OR(B16="",C16=""),"",C16-B16)</f>
      </c>
      <c r="G16" s="19">
        <f>IF(B16="","",B16*$L$2)</f>
      </c>
      <c r="H16" s="19">
        <f>IF(OR(B16="",C16=""),"",F16-G16)</f>
      </c>
      <c r="I16" s="7"/>
      <c r="K16" s="31">
        <v>5</v>
      </c>
      <c r="L16" s="32">
        <f>$L$3*((1+$L$2)^5)</f>
      </c>
    </row>
    <row r="17" ht="24" customHeight="1" spans="1:12" x14ac:dyDescent="0.25">
      <c r="A17" s="10"/>
      <c r="B17" s="24">
        <f>IF(C16="","",C16)</f>
      </c>
      <c r="C17" s="20"/>
      <c r="D17" s="25">
        <f>IF(B17="","",B17*(1+$L$2))</f>
      </c>
      <c r="E17" s="26">
        <f>IF(OR(B17="",C17=""),"",(C17-B17)/B17)</f>
      </c>
      <c r="F17" s="27">
        <f>IF(OR(B17="",C17=""),"",C17-B17)</f>
      </c>
      <c r="G17" s="24">
        <f>IF(B17="","",B17*$L$2)</f>
      </c>
      <c r="H17" s="24">
        <f>IF(OR(B17="",C17=""),"",F17-G17)</f>
      </c>
      <c r="I17" s="10"/>
      <c r="K17" s="31">
        <v>6</v>
      </c>
      <c r="L17" s="33">
        <f>$L$3*((1+$L$2)^6)</f>
      </c>
    </row>
    <row r="18" ht="24" customHeight="1" spans="1:12" x14ac:dyDescent="0.25">
      <c r="A18" s="7"/>
      <c r="B18" s="19">
        <f>IF(C17="","",C17)</f>
      </c>
      <c r="C18" s="20"/>
      <c r="D18" s="21">
        <f>IF(B18="","",B18*(1+$L$2))</f>
      </c>
      <c r="E18" s="22">
        <f>IF(OR(B18="",C18=""),"",(C18-B18)/B18)</f>
      </c>
      <c r="F18" s="23">
        <f>IF(OR(B18="",C18=""),"",C18-B18)</f>
      </c>
      <c r="G18" s="19">
        <f>IF(B18="","",B18*$L$2)</f>
      </c>
      <c r="H18" s="19">
        <f>IF(OR(B18="",C18=""),"",F18-G18)</f>
      </c>
      <c r="I18" s="7"/>
      <c r="K18" s="31">
        <v>7</v>
      </c>
      <c r="L18" s="32">
        <f>$L$3*((1+$L$2)^7)</f>
      </c>
    </row>
    <row r="19" ht="24" customHeight="1" spans="1:12" x14ac:dyDescent="0.25">
      <c r="A19" s="10"/>
      <c r="B19" s="24">
        <f>IF(C18="","",C18)</f>
      </c>
      <c r="C19" s="20"/>
      <c r="D19" s="25">
        <f>IF(B19="","",B19*(1+$L$2))</f>
      </c>
      <c r="E19" s="26">
        <f>IF(OR(B19="",C19=""),"",(C19-B19)/B19)</f>
      </c>
      <c r="F19" s="27">
        <f>IF(OR(B19="",C19=""),"",C19-B19)</f>
      </c>
      <c r="G19" s="24">
        <f>IF(B19="","",B19*$L$2)</f>
      </c>
      <c r="H19" s="24">
        <f>IF(OR(B19="",C19=""),"",F19-G19)</f>
      </c>
      <c r="I19" s="10"/>
      <c r="K19" s="31">
        <v>8</v>
      </c>
      <c r="L19" s="33">
        <f>$L$3*((1+$L$2)^8)</f>
      </c>
    </row>
    <row r="20" ht="24" customHeight="1" spans="1:12" x14ac:dyDescent="0.25">
      <c r="A20" s="7"/>
      <c r="B20" s="19">
        <f>IF(C19="","",C19)</f>
      </c>
      <c r="C20" s="20"/>
      <c r="D20" s="21">
        <f>IF(B20="","",B20*(1+$L$2))</f>
      </c>
      <c r="E20" s="22">
        <f>IF(OR(B20="",C20=""),"",(C20-B20)/B20)</f>
      </c>
      <c r="F20" s="23">
        <f>IF(OR(B20="",C20=""),"",C20-B20)</f>
      </c>
      <c r="G20" s="19">
        <f>IF(B20="","",B20*$L$2)</f>
      </c>
      <c r="H20" s="19">
        <f>IF(OR(B20="",C20=""),"",F20-G20)</f>
      </c>
      <c r="I20" s="7"/>
      <c r="K20" s="31">
        <v>9</v>
      </c>
      <c r="L20" s="32">
        <f>$L$3*((1+$L$2)^9)</f>
      </c>
    </row>
    <row r="21" ht="24" customHeight="1" spans="1:12" x14ac:dyDescent="0.25">
      <c r="A21" s="10"/>
      <c r="B21" s="24">
        <f>IF(C20="","",C20)</f>
      </c>
      <c r="C21" s="20"/>
      <c r="D21" s="25">
        <f>IF(B21="","",B21*(1+$L$2))</f>
      </c>
      <c r="E21" s="26">
        <f>IF(OR(B21="",C21=""),"",(C21-B21)/B21)</f>
      </c>
      <c r="F21" s="27">
        <f>IF(OR(B21="",C21=""),"",C21-B21)</f>
      </c>
      <c r="G21" s="24">
        <f>IF(B21="","",B21*$L$2)</f>
      </c>
      <c r="H21" s="24">
        <f>IF(OR(B21="",C21=""),"",F21-G21)</f>
      </c>
      <c r="I21" s="10"/>
      <c r="K21" s="31">
        <v>10</v>
      </c>
      <c r="L21" s="33">
        <f>$L$3*((1+$L$2)^10)</f>
      </c>
    </row>
    <row r="22" ht="24" customHeight="1" spans="1:12" x14ac:dyDescent="0.25">
      <c r="A22" s="7"/>
      <c r="B22" s="19">
        <f>IF(C21="","",C21)</f>
      </c>
      <c r="C22" s="20"/>
      <c r="D22" s="21">
        <f>IF(B22="","",B22*(1+$L$2))</f>
      </c>
      <c r="E22" s="22">
        <f>IF(OR(B22="",C22=""),"",(C22-B22)/B22)</f>
      </c>
      <c r="F22" s="23">
        <f>IF(OR(B22="",C22=""),"",C22-B22)</f>
      </c>
      <c r="G22" s="19">
        <f>IF(B22="","",B22*$L$2)</f>
      </c>
      <c r="H22" s="19">
        <f>IF(OR(B22="",C22=""),"",F22-G22)</f>
      </c>
      <c r="I22" s="7"/>
      <c r="K22" s="31">
        <v>11</v>
      </c>
      <c r="L22" s="32">
        <f>$L$3*((1+$L$2)^11)</f>
      </c>
    </row>
    <row r="23" ht="24" customHeight="1" spans="1:12" x14ac:dyDescent="0.25">
      <c r="A23" s="10"/>
      <c r="B23" s="24">
        <f>IF(C22="","",C22)</f>
      </c>
      <c r="C23" s="20"/>
      <c r="D23" s="25">
        <f>IF(B23="","",B23*(1+$L$2))</f>
      </c>
      <c r="E23" s="26">
        <f>IF(OR(B23="",C23=""),"",(C23-B23)/B23)</f>
      </c>
      <c r="F23" s="27">
        <f>IF(OR(B23="",C23=""),"",C23-B23)</f>
      </c>
      <c r="G23" s="24">
        <f>IF(B23="","",B23*$L$2)</f>
      </c>
      <c r="H23" s="24">
        <f>IF(OR(B23="",C23=""),"",F23-G23)</f>
      </c>
      <c r="I23" s="10"/>
      <c r="K23" s="31">
        <v>12</v>
      </c>
      <c r="L23" s="33">
        <f>$L$3*((1+$L$2)^12)</f>
      </c>
    </row>
    <row r="24" ht="24" customHeight="1" spans="1:12" x14ac:dyDescent="0.25">
      <c r="A24" s="7"/>
      <c r="B24" s="19">
        <f>IF(C23="","",C23)</f>
      </c>
      <c r="C24" s="20"/>
      <c r="D24" s="21">
        <f>IF(B24="","",B24*(1+$L$2))</f>
      </c>
      <c r="E24" s="22">
        <f>IF(OR(B24="",C24=""),"",(C24-B24)/B24)</f>
      </c>
      <c r="F24" s="23">
        <f>IF(OR(B24="",C24=""),"",C24-B24)</f>
      </c>
      <c r="G24" s="19">
        <f>IF(B24="","",B24*$L$2)</f>
      </c>
      <c r="H24" s="19">
        <f>IF(OR(B24="",C24=""),"",F24-G24)</f>
      </c>
      <c r="I24" s="7"/>
      <c r="K24" s="31">
        <v>13</v>
      </c>
      <c r="L24" s="32">
        <f>$L$3*((1+$L$2)^13)</f>
      </c>
    </row>
    <row r="25" ht="24" customHeight="1" spans="1:12" x14ac:dyDescent="0.25">
      <c r="A25" s="10"/>
      <c r="B25" s="24">
        <f>IF(C24="","",C24)</f>
      </c>
      <c r="C25" s="20"/>
      <c r="D25" s="25">
        <f>IF(B25="","",B25*(1+$L$2))</f>
      </c>
      <c r="E25" s="26">
        <f>IF(OR(B25="",C25=""),"",(C25-B25)/B25)</f>
      </c>
      <c r="F25" s="27">
        <f>IF(OR(B25="",C25=""),"",C25-B25)</f>
      </c>
      <c r="G25" s="24">
        <f>IF(B25="","",B25*$L$2)</f>
      </c>
      <c r="H25" s="24">
        <f>IF(OR(B25="",C25=""),"",F25-G25)</f>
      </c>
      <c r="I25" s="10"/>
      <c r="K25" s="31">
        <v>14</v>
      </c>
      <c r="L25" s="33">
        <f>$L$3*((1+$L$2)^14)</f>
      </c>
    </row>
    <row r="26" ht="24" customHeight="1" spans="1:12" x14ac:dyDescent="0.25">
      <c r="A26" s="7"/>
      <c r="B26" s="19">
        <f>IF(C25="","",C25)</f>
      </c>
      <c r="C26" s="20"/>
      <c r="D26" s="21">
        <f>IF(B26="","",B26*(1+$L$2))</f>
      </c>
      <c r="E26" s="22">
        <f>IF(OR(B26="",C26=""),"",(C26-B26)/B26)</f>
      </c>
      <c r="F26" s="23">
        <f>IF(OR(B26="",C26=""),"",C26-B26)</f>
      </c>
      <c r="G26" s="19">
        <f>IF(B26="","",B26*$L$2)</f>
      </c>
      <c r="H26" s="19">
        <f>IF(OR(B26="",C26=""),"",F26-G26)</f>
      </c>
      <c r="I26" s="7"/>
      <c r="K26" s="31">
        <v>15</v>
      </c>
      <c r="L26" s="32">
        <f>$L$3*((1+$L$2)^15)</f>
      </c>
    </row>
    <row r="27" ht="24" customHeight="1" spans="1:12" x14ac:dyDescent="0.25">
      <c r="A27" s="10"/>
      <c r="B27" s="24">
        <f>IF(C26="","",C26)</f>
      </c>
      <c r="C27" s="20"/>
      <c r="D27" s="25">
        <f>IF(B27="","",B27*(1+$L$2))</f>
      </c>
      <c r="E27" s="26">
        <f>IF(OR(B27="",C27=""),"",(C27-B27)/B27)</f>
      </c>
      <c r="F27" s="27">
        <f>IF(OR(B27="",C27=""),"",C27-B27)</f>
      </c>
      <c r="G27" s="24">
        <f>IF(B27="","",B27*$L$2)</f>
      </c>
      <c r="H27" s="24">
        <f>IF(OR(B27="",C27=""),"",F27-G27)</f>
      </c>
      <c r="I27" s="10"/>
      <c r="K27" s="31">
        <v>16</v>
      </c>
      <c r="L27" s="33">
        <f>$L$3*((1+$L$2)^16)</f>
      </c>
    </row>
    <row r="28" ht="24" customHeight="1" spans="1:12" x14ac:dyDescent="0.25">
      <c r="A28" s="7"/>
      <c r="B28" s="19">
        <f>IF(C27="","",C27)</f>
      </c>
      <c r="C28" s="20"/>
      <c r="D28" s="21">
        <f>IF(B28="","",B28*(1+$L$2))</f>
      </c>
      <c r="E28" s="22">
        <f>IF(OR(B28="",C28=""),"",(C28-B28)/B28)</f>
      </c>
      <c r="F28" s="23">
        <f>IF(OR(B28="",C28=""),"",C28-B28)</f>
      </c>
      <c r="G28" s="19">
        <f>IF(B28="","",B28*$L$2)</f>
      </c>
      <c r="H28" s="19">
        <f>IF(OR(B28="",C28=""),"",F28-G28)</f>
      </c>
      <c r="I28" s="7"/>
      <c r="K28" s="31">
        <v>17</v>
      </c>
      <c r="L28" s="32">
        <f>$L$3*((1+$L$2)^17)</f>
      </c>
    </row>
    <row r="29" ht="24" customHeight="1" spans="1:12" x14ac:dyDescent="0.25">
      <c r="A29" s="10"/>
      <c r="B29" s="24">
        <f>IF(C28="","",C28)</f>
      </c>
      <c r="C29" s="20"/>
      <c r="D29" s="25">
        <f>IF(B29="","",B29*(1+$L$2))</f>
      </c>
      <c r="E29" s="26">
        <f>IF(OR(B29="",C29=""),"",(C29-B29)/B29)</f>
      </c>
      <c r="F29" s="27">
        <f>IF(OR(B29="",C29=""),"",C29-B29)</f>
      </c>
      <c r="G29" s="24">
        <f>IF(B29="","",B29*$L$2)</f>
      </c>
      <c r="H29" s="24">
        <f>IF(OR(B29="",C29=""),"",F29-G29)</f>
      </c>
      <c r="I29" s="10"/>
      <c r="K29" s="31">
        <v>18</v>
      </c>
      <c r="L29" s="33">
        <f>$L$3*((1+$L$2)^18)</f>
      </c>
    </row>
    <row r="30" ht="24" customHeight="1" spans="1:12" x14ac:dyDescent="0.25">
      <c r="A30" s="7"/>
      <c r="B30" s="19">
        <f>IF(C29="","",C29)</f>
      </c>
      <c r="C30" s="20"/>
      <c r="D30" s="21">
        <f>IF(B30="","",B30*(1+$L$2))</f>
      </c>
      <c r="E30" s="22">
        <f>IF(OR(B30="",C30=""),"",(C30-B30)/B30)</f>
      </c>
      <c r="F30" s="23">
        <f>IF(OR(B30="",C30=""),"",C30-B30)</f>
      </c>
      <c r="G30" s="19">
        <f>IF(B30="","",B30*$L$2)</f>
      </c>
      <c r="H30" s="19">
        <f>IF(OR(B30="",C30=""),"",F30-G30)</f>
      </c>
      <c r="I30" s="7"/>
      <c r="K30" s="31">
        <v>19</v>
      </c>
      <c r="L30" s="32">
        <f>$L$3*((1+$L$2)^19)</f>
      </c>
    </row>
    <row r="31" ht="24" customHeight="1" spans="1:12" x14ac:dyDescent="0.25">
      <c r="A31" s="10"/>
      <c r="B31" s="24">
        <f>IF(C30="","",C30)</f>
      </c>
      <c r="C31" s="20"/>
      <c r="D31" s="25">
        <f>IF(B31="","",B31*(1+$L$2))</f>
      </c>
      <c r="E31" s="26">
        <f>IF(OR(B31="",C31=""),"",(C31-B31)/B31)</f>
      </c>
      <c r="F31" s="27">
        <f>IF(OR(B31="",C31=""),"",C31-B31)</f>
      </c>
      <c r="G31" s="24">
        <f>IF(B31="","",B31*$L$2)</f>
      </c>
      <c r="H31" s="24">
        <f>IF(OR(B31="",C31=""),"",F31-G31)</f>
      </c>
      <c r="I31" s="10"/>
      <c r="K31" s="31">
        <v>20</v>
      </c>
      <c r="L31" s="33">
        <f>$L$3*((1+$L$2)^20)</f>
      </c>
    </row>
    <row r="32" ht="24" customHeight="1" spans="1:9" x14ac:dyDescent="0.25">
      <c r="A32" s="7"/>
      <c r="B32" s="19">
        <f>IF(C31="","",C31)</f>
      </c>
      <c r="C32" s="20"/>
      <c r="D32" s="21">
        <f>IF(B32="","",B32*(1+$L$2))</f>
      </c>
      <c r="E32" s="22">
        <f>IF(OR(B32="",C32=""),"",(C32-B32)/B32)</f>
      </c>
      <c r="F32" s="23">
        <f>IF(OR(B32="",C32=""),"",C32-B32)</f>
      </c>
      <c r="G32" s="19">
        <f>IF(B32="","",B32*$L$2)</f>
      </c>
      <c r="H32" s="19">
        <f>IF(OR(B32="",C32=""),"",F32-G32)</f>
      </c>
      <c r="I32" s="7"/>
    </row>
    <row r="33" ht="24" customHeight="1" spans="1:9" x14ac:dyDescent="0.25">
      <c r="A33" s="10"/>
      <c r="B33" s="24">
        <f>IF(C32="","",C32)</f>
      </c>
      <c r="C33" s="20"/>
      <c r="D33" s="25">
        <f>IF(B33="","",B33*(1+$L$2))</f>
      </c>
      <c r="E33" s="26">
        <f>IF(OR(B33="",C33=""),"",(C33-B33)/B33)</f>
      </c>
      <c r="F33" s="27">
        <f>IF(OR(B33="",C33=""),"",C33-B33)</f>
      </c>
      <c r="G33" s="24">
        <f>IF(B33="","",B33*$L$2)</f>
      </c>
      <c r="H33" s="24">
        <f>IF(OR(B33="",C33=""),"",F33-G33)</f>
      </c>
      <c r="I33" s="10"/>
    </row>
    <row r="34" ht="24" customHeight="1" spans="1:9" x14ac:dyDescent="0.25">
      <c r="A34" s="7"/>
      <c r="B34" s="19">
        <f>IF(C33="","",C33)</f>
      </c>
      <c r="C34" s="20"/>
      <c r="D34" s="21">
        <f>IF(B34="","",B34*(1+$L$2))</f>
      </c>
      <c r="E34" s="22">
        <f>IF(OR(B34="",C34=""),"",(C34-B34)/B34)</f>
      </c>
      <c r="F34" s="23">
        <f>IF(OR(B34="",C34=""),"",C34-B34)</f>
      </c>
      <c r="G34" s="19">
        <f>IF(B34="","",B34*$L$2)</f>
      </c>
      <c r="H34" s="19">
        <f>IF(OR(B34="",C34=""),"",F34-G34)</f>
      </c>
      <c r="I34" s="7"/>
    </row>
    <row r="35" ht="24" customHeight="1" spans="1:9" x14ac:dyDescent="0.25">
      <c r="A35" s="10"/>
      <c r="B35" s="24">
        <f>IF(C34="","",C34)</f>
      </c>
      <c r="C35" s="20"/>
      <c r="D35" s="25">
        <f>IF(B35="","",B35*(1+$L$2))</f>
      </c>
      <c r="E35" s="26">
        <f>IF(OR(B35="",C35=""),"",(C35-B35)/B35)</f>
      </c>
      <c r="F35" s="27">
        <f>IF(OR(B35="",C35=""),"",C35-B35)</f>
      </c>
      <c r="G35" s="24">
        <f>IF(B35="","",B35*$L$2)</f>
      </c>
      <c r="H35" s="24">
        <f>IF(OR(B35="",C35=""),"",F35-G35)</f>
      </c>
      <c r="I35" s="10"/>
    </row>
    <row r="36" ht="24" customHeight="1" spans="1:9" x14ac:dyDescent="0.25">
      <c r="A36" s="7"/>
      <c r="B36" s="19">
        <f>IF(C35="","",C35)</f>
      </c>
      <c r="C36" s="20"/>
      <c r="D36" s="21">
        <f>IF(B36="","",B36*(1+$L$2))</f>
      </c>
      <c r="E36" s="22">
        <f>IF(OR(B36="",C36=""),"",(C36-B36)/B36)</f>
      </c>
      <c r="F36" s="23">
        <f>IF(OR(B36="",C36=""),"",C36-B36)</f>
      </c>
      <c r="G36" s="19">
        <f>IF(B36="","",B36*$L$2)</f>
      </c>
      <c r="H36" s="19">
        <f>IF(OR(B36="",C36=""),"",F36-G36)</f>
      </c>
      <c r="I36" s="7"/>
    </row>
    <row r="37" ht="24" customHeight="1" spans="1:9" x14ac:dyDescent="0.25">
      <c r="A37" s="10"/>
      <c r="B37" s="24">
        <f>IF(C36="","",C36)</f>
      </c>
      <c r="C37" s="20"/>
      <c r="D37" s="25">
        <f>IF(B37="","",B37*(1+$L$2))</f>
      </c>
      <c r="E37" s="26">
        <f>IF(OR(B37="",C37=""),"",(C37-B37)/B37)</f>
      </c>
      <c r="F37" s="27">
        <f>IF(OR(B37="",C37=""),"",C37-B37)</f>
      </c>
      <c r="G37" s="24">
        <f>IF(B37="","",B37*$L$2)</f>
      </c>
      <c r="H37" s="24">
        <f>IF(OR(B37="",C37=""),"",F37-G37)</f>
      </c>
      <c r="I37" s="10"/>
    </row>
    <row r="38" ht="24" customHeight="1" spans="1:9" x14ac:dyDescent="0.25">
      <c r="A38" s="7"/>
      <c r="B38" s="19">
        <f>IF(C37="","",C37)</f>
      </c>
      <c r="C38" s="20"/>
      <c r="D38" s="21">
        <f>IF(B38="","",B38*(1+$L$2))</f>
      </c>
      <c r="E38" s="22">
        <f>IF(OR(B38="",C38=""),"",(C38-B38)/B38)</f>
      </c>
      <c r="F38" s="23">
        <f>IF(OR(B38="",C38=""),"",C38-B38)</f>
      </c>
      <c r="G38" s="19">
        <f>IF(B38="","",B38*$L$2)</f>
      </c>
      <c r="H38" s="19">
        <f>IF(OR(B38="",C38=""),"",F38-G38)</f>
      </c>
      <c r="I38" s="7"/>
    </row>
    <row r="39" ht="24" customHeight="1" spans="1:9" x14ac:dyDescent="0.25">
      <c r="A39" s="10"/>
      <c r="B39" s="24">
        <f>IF(C38="","",C38)</f>
      </c>
      <c r="C39" s="20"/>
      <c r="D39" s="25">
        <f>IF(B39="","",B39*(1+$L$2))</f>
      </c>
      <c r="E39" s="26">
        <f>IF(OR(B39="",C39=""),"",(C39-B39)/B39)</f>
      </c>
      <c r="F39" s="27">
        <f>IF(OR(B39="",C39=""),"",C39-B39)</f>
      </c>
      <c r="G39" s="24">
        <f>IF(B39="","",B39*$L$2)</f>
      </c>
      <c r="H39" s="24">
        <f>IF(OR(B39="",C39=""),"",F39-G39)</f>
      </c>
      <c r="I39" s="10"/>
    </row>
    <row r="40" ht="24" customHeight="1" spans="1:9" x14ac:dyDescent="0.25">
      <c r="A40" s="7"/>
      <c r="B40" s="19">
        <f>IF(C39="","",C39)</f>
      </c>
      <c r="C40" s="20"/>
      <c r="D40" s="21">
        <f>IF(B40="","",B40*(1+$L$2))</f>
      </c>
      <c r="E40" s="22">
        <f>IF(OR(B40="",C40=""),"",(C40-B40)/B40)</f>
      </c>
      <c r="F40" s="23">
        <f>IF(OR(B40="",C40=""),"",C40-B40)</f>
      </c>
      <c r="G40" s="19">
        <f>IF(B40="","",B40*$L$2)</f>
      </c>
      <c r="H40" s="19">
        <f>IF(OR(B40="",C40=""),"",F40-G40)</f>
      </c>
      <c r="I40" s="7"/>
    </row>
    <row r="41" ht="24" customHeight="1" spans="1:9" x14ac:dyDescent="0.25">
      <c r="A41" s="10"/>
      <c r="B41" s="24">
        <f>IF(C40="","",C40)</f>
      </c>
      <c r="C41" s="20"/>
      <c r="D41" s="25">
        <f>IF(B41="","",B41*(1+$L$2))</f>
      </c>
      <c r="E41" s="26">
        <f>IF(OR(B41="",C41=""),"",(C41-B41)/B41)</f>
      </c>
      <c r="F41" s="27">
        <f>IF(OR(B41="",C41=""),"",C41-B41)</f>
      </c>
      <c r="G41" s="24">
        <f>IF(B41="","",B41*$L$2)</f>
      </c>
      <c r="H41" s="24">
        <f>IF(OR(B41="",C41=""),"",F41-G41)</f>
      </c>
      <c r="I41" s="10"/>
    </row>
    <row r="42" ht="24" customHeight="1" spans="1:9" x14ac:dyDescent="0.25">
      <c r="A42" s="7"/>
      <c r="B42" s="19">
        <f>IF(C41="","",C41)</f>
      </c>
      <c r="C42" s="20"/>
      <c r="D42" s="21">
        <f>IF(B42="","",B42*(1+$L$2))</f>
      </c>
      <c r="E42" s="22">
        <f>IF(OR(B42="",C42=""),"",(C42-B42)/B42)</f>
      </c>
      <c r="F42" s="23">
        <f>IF(OR(B42="",C42=""),"",C42-B42)</f>
      </c>
      <c r="G42" s="19">
        <f>IF(B42="","",B42*$L$2)</f>
      </c>
      <c r="H42" s="19">
        <f>IF(OR(B42="",C42=""),"",F42-G42)</f>
      </c>
      <c r="I42" s="7"/>
    </row>
    <row r="43" ht="24" customHeight="1" spans="1:9" x14ac:dyDescent="0.25">
      <c r="A43" s="10"/>
      <c r="B43" s="24">
        <f>IF(C42="","",C42)</f>
      </c>
      <c r="C43" s="20"/>
      <c r="D43" s="25">
        <f>IF(B43="","",B43*(1+$L$2))</f>
      </c>
      <c r="E43" s="26">
        <f>IF(OR(B43="",C43=""),"",(C43-B43)/B43)</f>
      </c>
      <c r="F43" s="27">
        <f>IF(OR(B43="",C43=""),"",C43-B43)</f>
      </c>
      <c r="G43" s="24">
        <f>IF(B43="","",B43*$L$2)</f>
      </c>
      <c r="H43" s="24">
        <f>IF(OR(B43="",C43=""),"",F43-G43)</f>
      </c>
      <c r="I43" s="10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J37"/>
  <sheetViews>
    <sheetView workbookViewId="0" showGridLines="0">
      <pane ySplit="2" topLeftCell="A3" activePane="bottomLeft" state="frozen"/>
      <selection pane="bottomLeft" activeCell="C5" sqref="C5"/>
    </sheetView>
  </sheetViews>
  <sheetFormatPr defaultRowHeight="22" outlineLevelRow="0" outlineLevelCol="0" x14ac:dyDescent="55" customHeight="1"/>
  <cols>
    <col min="1" max="1" width="22" customWidth="1"/>
    <col min="2" max="2" width="16" customWidth="1"/>
    <col min="3" max="3" width="3" customWidth="1"/>
    <col min="4" max="4" width="22" customWidth="1"/>
    <col min="5" max="5" width="16" customWidth="1"/>
    <col min="6" max="6" width="3" customWidth="1"/>
    <col min="7" max="7" width="18" customWidth="1"/>
    <col min="8" max="10" width="14" customWidth="1"/>
  </cols>
  <sheetData>
    <row r="1" ht="28" customHeight="1" spans="1:10" x14ac:dyDescent="0.25">
      <c r="A1" s="1" t="s">
        <v>0</v>
      </c>
      <c r="B1" s="2" t="s">
        <v>65</v>
      </c>
      <c r="C1" s="2"/>
      <c r="D1" s="2"/>
      <c r="E1" s="2"/>
      <c r="F1" s="2"/>
      <c r="G1" s="2"/>
      <c r="H1" s="2"/>
      <c r="I1" s="2"/>
      <c r="J1" s="2"/>
    </row>
    <row r="2" ht="20" customHeight="1" spans="1:10" x14ac:dyDescent="0.25">
      <c r="A2" s="3" t="s">
        <v>66</v>
      </c>
      <c r="B2" s="3"/>
      <c r="C2" s="3"/>
      <c r="D2" s="3"/>
      <c r="E2" s="3"/>
      <c r="F2" s="3"/>
      <c r="G2" s="3"/>
      <c r="H2" s="3"/>
      <c r="I2" s="3"/>
      <c r="J2" s="3"/>
    </row>
    <row r="4" ht="26" customHeight="1" spans="1:10" x14ac:dyDescent="0.25">
      <c r="A4" s="12" t="s">
        <v>67</v>
      </c>
      <c r="B4" s="12"/>
      <c r="D4" s="12" t="s">
        <v>68</v>
      </c>
      <c r="E4" s="12"/>
      <c r="G4" s="12" t="s">
        <v>69</v>
      </c>
      <c r="H4" s="12"/>
      <c r="I4" s="12"/>
      <c r="J4" s="12"/>
    </row>
    <row r="5" spans="1:10" x14ac:dyDescent="0.25">
      <c r="A5" s="34" t="s">
        <v>70</v>
      </c>
      <c r="B5" s="35">
        <f>IFERROR(IF('Daily P&amp;L'!$L$3="",10000,'Daily P&amp;L'!$L$3),10000)</f>
      </c>
      <c r="D5" s="34" t="s">
        <v>71</v>
      </c>
      <c r="E5" s="36" t="s">
        <v>72</v>
      </c>
      <c r="G5" s="34" t="s">
        <v>73</v>
      </c>
      <c r="H5" s="37" t="s">
        <v>74</v>
      </c>
      <c r="I5" s="37"/>
      <c r="J5" s="37"/>
    </row>
    <row r="6" spans="1:10" x14ac:dyDescent="0.25">
      <c r="A6" s="34" t="s">
        <v>75</v>
      </c>
      <c r="B6" s="38">
        <v>0.01</v>
      </c>
      <c r="D6" s="34" t="s">
        <v>76</v>
      </c>
      <c r="E6" s="39">
        <v>100</v>
      </c>
      <c r="G6" s="34" t="s">
        <v>77</v>
      </c>
      <c r="H6" s="37" t="s">
        <v>78</v>
      </c>
      <c r="I6" s="37"/>
      <c r="J6" s="37"/>
    </row>
    <row r="7" spans="1:10" x14ac:dyDescent="0.25">
      <c r="A7" s="34" t="s">
        <v>79</v>
      </c>
      <c r="B7" s="38">
        <v>0.03</v>
      </c>
      <c r="D7" s="34" t="s">
        <v>80</v>
      </c>
      <c r="E7" s="39">
        <v>97</v>
      </c>
      <c r="G7" s="34" t="s">
        <v>81</v>
      </c>
      <c r="H7" s="37" t="s">
        <v>82</v>
      </c>
      <c r="I7" s="37"/>
      <c r="J7" s="37"/>
    </row>
    <row r="8" spans="1:10" x14ac:dyDescent="0.25">
      <c r="A8" s="40" t="s">
        <v>83</v>
      </c>
      <c r="B8" s="40"/>
      <c r="D8" s="34" t="s">
        <v>84</v>
      </c>
      <c r="E8" s="39">
        <v>106</v>
      </c>
      <c r="G8" s="34" t="s">
        <v>85</v>
      </c>
      <c r="H8" s="37" t="s">
        <v>86</v>
      </c>
      <c r="I8" s="37"/>
      <c r="J8" s="37"/>
    </row>
    <row r="9" spans="4:10" x14ac:dyDescent="0.25">
      <c r="D9" s="40" t="s">
        <v>87</v>
      </c>
      <c r="E9" s="40"/>
      <c r="G9" s="34" t="s">
        <v>88</v>
      </c>
      <c r="H9" s="37" t="s">
        <v>89</v>
      </c>
      <c r="I9" s="37"/>
      <c r="J9" s="37"/>
    </row>
    <row r="11" ht="26" customHeight="1" spans="1:10" x14ac:dyDescent="0.25">
      <c r="A11" s="12" t="s">
        <v>90</v>
      </c>
      <c r="B11" s="12"/>
      <c r="D11" s="12" t="s">
        <v>91</v>
      </c>
      <c r="E11" s="12"/>
      <c r="G11" s="12" t="s">
        <v>92</v>
      </c>
      <c r="H11" s="12"/>
      <c r="I11" s="12"/>
      <c r="J11" s="12"/>
    </row>
    <row r="12" ht="36" customHeight="1" spans="1:10" x14ac:dyDescent="0.25">
      <c r="A12" s="34" t="s">
        <v>93</v>
      </c>
      <c r="B12" s="41">
        <f>IFERROR($B$5*$B$6,0)</f>
      </c>
      <c r="D12" s="34" t="s">
        <v>94</v>
      </c>
      <c r="E12" s="42">
        <f>IFERROR(ABS($E$6-$E$7),0)</f>
      </c>
      <c r="G12" s="43" t="s">
        <v>95</v>
      </c>
      <c r="H12" s="43"/>
      <c r="I12" s="43"/>
      <c r="J12" s="43"/>
    </row>
    <row r="13" ht="36" customHeight="1" spans="1:10" x14ac:dyDescent="0.25">
      <c r="A13" s="34" t="s">
        <v>96</v>
      </c>
      <c r="B13" s="44">
        <f>IFERROR($B$5*$B$7,0)</f>
      </c>
      <c r="D13" s="34" t="s">
        <v>97</v>
      </c>
      <c r="E13" s="45">
        <f>IFERROR(ABS($E$6-$E$7)/$E$6,0)</f>
      </c>
      <c r="G13" s="46" t="s">
        <v>98</v>
      </c>
      <c r="H13" s="46"/>
      <c r="I13" s="46"/>
      <c r="J13" s="46"/>
    </row>
    <row r="14" ht="36" customHeight="1" spans="1:10" x14ac:dyDescent="0.25">
      <c r="A14" s="34" t="s">
        <v>99</v>
      </c>
      <c r="B14" s="47">
        <f>IFERROR(INT($B$7/$B$6),0)</f>
      </c>
      <c r="D14" s="34" t="s">
        <v>100</v>
      </c>
      <c r="E14" s="48">
        <f>IFERROR(IF(ABS($E$6-$E$7)=0,"",($B$5*$B$6)/ABS($E$6-$E$7)),"")</f>
      </c>
      <c r="G14" s="43" t="s">
        <v>101</v>
      </c>
      <c r="H14" s="43"/>
      <c r="I14" s="43"/>
      <c r="J14" s="43"/>
    </row>
    <row r="15" ht="36" customHeight="1" spans="1:10" x14ac:dyDescent="0.25">
      <c r="A15" s="40" t="s">
        <v>102</v>
      </c>
      <c r="B15" s="40"/>
      <c r="D15" s="34" t="s">
        <v>103</v>
      </c>
      <c r="E15" s="49">
        <f>IFERROR(E14*$E$6,"")</f>
      </c>
      <c r="G15" s="46" t="s">
        <v>104</v>
      </c>
      <c r="H15" s="46"/>
      <c r="I15" s="46"/>
      <c r="J15" s="46"/>
    </row>
    <row r="16" ht="36" customHeight="1" spans="4:10" x14ac:dyDescent="0.25">
      <c r="D16" s="34" t="s">
        <v>105</v>
      </c>
      <c r="E16" s="42">
        <f>IFERROR(ABS($E$8-$E$6),0)</f>
      </c>
      <c r="G16" s="43" t="s">
        <v>106</v>
      </c>
      <c r="H16" s="43"/>
      <c r="I16" s="43"/>
      <c r="J16" s="43"/>
    </row>
    <row r="17" spans="4:5" x14ac:dyDescent="0.25">
      <c r="D17" s="34" t="s">
        <v>107</v>
      </c>
      <c r="E17" s="50">
        <f>IFERROR(IF(ABS($E$6-$E$7)=0,"",ABS($E$8-$E$6)/ABS($E$6-$E$7)),"")</f>
      </c>
    </row>
    <row r="18" spans="4:5" x14ac:dyDescent="0.25">
      <c r="D18" s="34" t="s">
        <v>108</v>
      </c>
      <c r="E18" s="41">
        <f>IFERROR(($B$5*$B$6)*E17,"")</f>
      </c>
    </row>
    <row r="19" spans="4:5" x14ac:dyDescent="0.25">
      <c r="D19" s="34" t="s">
        <v>109</v>
      </c>
      <c r="E19" s="51">
        <f>IF(E17="","Enter levels",IF(E17&lt;1.5,"Usually a pass",IF(E17&lt;2,"Borderline",IF(E17&gt;=3,"Strong asymmetry","Worth a look"))))</f>
      </c>
    </row>
    <row r="21" ht="26" customHeight="1" spans="1:5" x14ac:dyDescent="0.25">
      <c r="A21" s="12" t="s">
        <v>110</v>
      </c>
      <c r="B21" s="12"/>
      <c r="C21" s="12"/>
      <c r="D21" s="12"/>
      <c r="E21" s="12"/>
    </row>
    <row r="22" ht="28" customHeight="1" spans="1:5" x14ac:dyDescent="0.25">
      <c r="A22" s="52">
        <f>IF(OR($E$6="",$E$7="",$E$8=""),"Fill entry, stop, target",IF(AND(UPPER($E$5)="LONG",$E$7&lt;$E$6,$E$8&gt;$E$6),"LONG levels look consistent",IF(AND(UPPER($E$5)="SHORT",$E$7&gt;$E$6,$E$8&lt;$E$6),"SHORT levels look consistent","CHECK LEVELS — stop/target side does not match direction")))</f>
      </c>
      <c r="B22" s="52"/>
      <c r="C22" s="52"/>
      <c r="D22" s="52"/>
      <c r="E22" s="52"/>
    </row>
    <row r="24" ht="26" customHeight="1" spans="1:5" x14ac:dyDescent="0.25">
      <c r="A24" s="12" t="s">
        <v>111</v>
      </c>
      <c r="B24" s="12"/>
      <c r="C24" s="12"/>
      <c r="D24" s="12"/>
      <c r="E24" s="12"/>
    </row>
    <row r="25" spans="1:5" x14ac:dyDescent="0.25">
      <c r="A25" s="30" t="s">
        <v>112</v>
      </c>
      <c r="B25" s="30" t="s">
        <v>113</v>
      </c>
      <c r="C25" s="30" t="s">
        <v>114</v>
      </c>
      <c r="D25" s="30" t="s">
        <v>103</v>
      </c>
      <c r="E25" s="30" t="s">
        <v>115</v>
      </c>
    </row>
    <row r="26" ht="24" customHeight="1" spans="1:5" x14ac:dyDescent="0.25">
      <c r="A26" s="53">
        <v>0.005</v>
      </c>
      <c r="B26" s="54">
        <f>$B$5*A26</f>
      </c>
      <c r="C26" s="55">
        <f>IFERROR(IF(ABS($E$6-$E$7)=0,"",($B$5*A26)/ABS($E$6-$E$7)),"")</f>
      </c>
      <c r="D26" s="54">
        <f>IFERROR(C26*$E$6,"")</f>
      </c>
      <c r="E26" s="54">
        <f>IFERROR(B26*$E$17,"")</f>
      </c>
    </row>
    <row r="27" ht="24" customHeight="1" spans="1:5" x14ac:dyDescent="0.25">
      <c r="A27" s="56">
        <v>0.01</v>
      </c>
      <c r="B27" s="57">
        <f>$B$5*A27</f>
      </c>
      <c r="C27" s="58">
        <f>IFERROR(IF(ABS($E$6-$E$7)=0,"",($B$5*A27)/ABS($E$6-$E$7)),"")</f>
      </c>
      <c r="D27" s="57">
        <f>IFERROR(C27*$E$6,"")</f>
      </c>
      <c r="E27" s="57">
        <f>IFERROR(B27*$E$17,"")</f>
      </c>
    </row>
    <row r="28" ht="24" customHeight="1" spans="1:5" x14ac:dyDescent="0.25">
      <c r="A28" s="53">
        <v>0.015</v>
      </c>
      <c r="B28" s="54">
        <f>$B$5*A28</f>
      </c>
      <c r="C28" s="55">
        <f>IFERROR(IF(ABS($E$6-$E$7)=0,"",($B$5*A28)/ABS($E$6-$E$7)),"")</f>
      </c>
      <c r="D28" s="54">
        <f>IFERROR(C28*$E$6,"")</f>
      </c>
      <c r="E28" s="54">
        <f>IFERROR(B28*$E$17,"")</f>
      </c>
    </row>
    <row r="29" ht="24" customHeight="1" spans="1:5" x14ac:dyDescent="0.25">
      <c r="A29" s="56">
        <v>0.02</v>
      </c>
      <c r="B29" s="57">
        <f>$B$5*A29</f>
      </c>
      <c r="C29" s="58">
        <f>IFERROR(IF(ABS($E$6-$E$7)=0,"",($B$5*A29)/ABS($E$6-$E$7)),"")</f>
      </c>
      <c r="D29" s="57">
        <f>IFERROR(C29*$E$6,"")</f>
      </c>
      <c r="E29" s="57">
        <f>IFERROR(B29*$E$17,"")</f>
      </c>
    </row>
    <row r="30" ht="24" customHeight="1" spans="1:5" x14ac:dyDescent="0.25">
      <c r="A30" s="53">
        <v>0.025</v>
      </c>
      <c r="B30" s="54">
        <f>$B$5*A30</f>
      </c>
      <c r="C30" s="55">
        <f>IFERROR(IF(ABS($E$6-$E$7)=0,"",($B$5*A30)/ABS($E$6-$E$7)),"")</f>
      </c>
      <c r="D30" s="54">
        <f>IFERROR(C30*$E$6,"")</f>
      </c>
      <c r="E30" s="54">
        <f>IFERROR(B30*$E$17,"")</f>
      </c>
    </row>
    <row r="32" ht="26" customHeight="1" spans="1:5" x14ac:dyDescent="0.25">
      <c r="A32" s="12" t="s">
        <v>116</v>
      </c>
      <c r="B32" s="12"/>
      <c r="C32" s="12"/>
      <c r="D32" s="12"/>
      <c r="E32" s="12"/>
    </row>
    <row r="33" ht="26" customHeight="1" spans="1:4" x14ac:dyDescent="0.25">
      <c r="A33" s="59">
        <v>0.005</v>
      </c>
      <c r="B33" s="59">
        <v>0.01</v>
      </c>
      <c r="C33" s="59">
        <v>0.015</v>
      </c>
      <c r="D33" s="59">
        <v>0.02</v>
      </c>
    </row>
    <row r="34" ht="32" customHeight="1" spans="1:4" x14ac:dyDescent="0.25">
      <c r="A34" s="60" t="s">
        <v>117</v>
      </c>
      <c r="B34" s="60" t="s">
        <v>118</v>
      </c>
      <c r="C34" s="60" t="s">
        <v>119</v>
      </c>
      <c r="D34" s="60" t="s">
        <v>120</v>
      </c>
    </row>
    <row r="35" spans="1:5" x14ac:dyDescent="0.25">
      <c r="A35" s="61" t="s">
        <v>121</v>
      </c>
      <c r="B35" s="61"/>
      <c r="C35" s="61"/>
      <c r="D35" s="61"/>
      <c r="E35" s="61"/>
    </row>
    <row r="37" spans="1:5" x14ac:dyDescent="0.25">
      <c r="A37" s="62" t="s">
        <v>122</v>
      </c>
      <c r="B37" s="62"/>
      <c r="C37" s="62"/>
      <c r="D37" s="62"/>
      <c r="E37" s="62"/>
    </row>
  </sheetData>
  <mergeCells count="27">
    <mergeCell ref="B1:J1"/>
    <mergeCell ref="A2:J2"/>
    <mergeCell ref="A4:B4"/>
    <mergeCell ref="D4:E4"/>
    <mergeCell ref="G4:J4"/>
    <mergeCell ref="H5:J5"/>
    <mergeCell ref="H6:J6"/>
    <mergeCell ref="H7:J7"/>
    <mergeCell ref="A8:B8"/>
    <mergeCell ref="H8:J8"/>
    <mergeCell ref="D9:E9"/>
    <mergeCell ref="H9:J9"/>
    <mergeCell ref="A11:B11"/>
    <mergeCell ref="D11:E11"/>
    <mergeCell ref="G11:J11"/>
    <mergeCell ref="G12:J12"/>
    <mergeCell ref="G13:J13"/>
    <mergeCell ref="G14:J14"/>
    <mergeCell ref="A15:B15"/>
    <mergeCell ref="G15:J15"/>
    <mergeCell ref="G16:J16"/>
    <mergeCell ref="A21:E21"/>
    <mergeCell ref="A22:E22"/>
    <mergeCell ref="A24:E24"/>
    <mergeCell ref="A32:E32"/>
    <mergeCell ref="A35:E35"/>
    <mergeCell ref="A37:E37"/>
  </mergeCells>
  <conditionalFormatting sqref="A26:E30">
    <cfRule type="expression" dxfId="4" priority="1">
      <formula>$A26=$B$6</formula>
    </cfRule>
  </conditionalFormatting>
  <dataValidations count="1">
    <dataValidation type="list" showErrorMessage="1" errorTitle="Direction" error="Pick LONG or SHORT." sqref="E5">
      <formula1>"LONG,SHORT"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</row>
    <row r="2" ht="20" customHeight="1" spans="1:25" x14ac:dyDescent="0.25">
      <c r="A2" s="3" t="s">
        <v>124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</row>
    <row r="3" ht="26" customHeight="1" spans="1:25" x14ac:dyDescent="0.25">
      <c r="A3" s="4" t="s">
        <v>49</v>
      </c>
      <c r="B3" s="4" t="s">
        <v>125</v>
      </c>
      <c r="C3" s="4" t="s">
        <v>126</v>
      </c>
      <c r="D3" s="4" t="s">
        <v>127</v>
      </c>
      <c r="E3" s="4" t="s">
        <v>128</v>
      </c>
      <c r="F3" s="4" t="s">
        <v>129</v>
      </c>
      <c r="G3" s="4" t="s">
        <v>130</v>
      </c>
      <c r="H3" s="4" t="s">
        <v>131</v>
      </c>
      <c r="I3" s="4" t="s">
        <v>76</v>
      </c>
      <c r="J3" s="4" t="s">
        <v>132</v>
      </c>
      <c r="K3" s="4" t="s">
        <v>84</v>
      </c>
      <c r="L3" s="4" t="s">
        <v>85</v>
      </c>
      <c r="M3" s="4" t="s">
        <v>133</v>
      </c>
      <c r="N3" s="4" t="s">
        <v>112</v>
      </c>
      <c r="O3" s="4" t="s">
        <v>81</v>
      </c>
      <c r="P3" s="4" t="s">
        <v>134</v>
      </c>
      <c r="Q3" s="4" t="s">
        <v>135</v>
      </c>
      <c r="R3" s="4" t="s">
        <v>136</v>
      </c>
      <c r="S3" s="4" t="s">
        <v>137</v>
      </c>
      <c r="T3" s="4" t="s">
        <v>138</v>
      </c>
      <c r="U3" s="4" t="s">
        <v>139</v>
      </c>
      <c r="V3" s="4" t="s">
        <v>140</v>
      </c>
      <c r="W3" s="4" t="s">
        <v>141</v>
      </c>
      <c r="X3" s="4" t="s">
        <v>142</v>
      </c>
      <c r="Y3" s="4" t="s">
        <v>143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144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</row>
    <row r="2" ht="20" customHeight="1" spans="1:16" x14ac:dyDescent="0.25">
      <c r="A2" s="3" t="s">
        <v>124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</row>
    <row r="3" ht="26" customHeight="1" spans="1:16" x14ac:dyDescent="0.25">
      <c r="A3" s="4" t="s">
        <v>49</v>
      </c>
      <c r="B3" s="4" t="s">
        <v>125</v>
      </c>
      <c r="C3" s="4" t="s">
        <v>145</v>
      </c>
      <c r="D3" s="4" t="s">
        <v>80</v>
      </c>
      <c r="E3" s="4" t="s">
        <v>146</v>
      </c>
      <c r="F3" s="4" t="s">
        <v>147</v>
      </c>
      <c r="G3" s="4" t="s">
        <v>148</v>
      </c>
      <c r="H3" s="4" t="s">
        <v>149</v>
      </c>
      <c r="I3" s="4" t="s">
        <v>150</v>
      </c>
      <c r="J3" s="4" t="s">
        <v>151</v>
      </c>
      <c r="K3" s="4" t="s">
        <v>152</v>
      </c>
      <c r="L3" s="4" t="s">
        <v>153</v>
      </c>
      <c r="M3" s="4" t="s">
        <v>154</v>
      </c>
      <c r="N3" s="4" t="s">
        <v>155</v>
      </c>
      <c r="O3" s="4" t="s">
        <v>156</v>
      </c>
      <c r="P3" s="4" t="s">
        <v>157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N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2" customWidth="1"/>
    <col min="3" max="3" width="11" customWidth="1"/>
    <col min="6" max="7" width="22" customWidth="1"/>
    <col min="8" max="8" width="12" customWidth="1"/>
    <col min="9" max="9" width="16" customWidth="1"/>
    <col min="10" max="10" width="12" customWidth="1"/>
    <col min="11" max="12" width="18" customWidth="1"/>
    <col min="13" max="13" width="11" customWidth="1"/>
    <col min="14" max="14" width="24" customWidth="1"/>
  </cols>
  <sheetData>
    <row r="1" ht="28" customHeight="1" spans="1:14" x14ac:dyDescent="0.25">
      <c r="A1" s="1" t="s">
        <v>0</v>
      </c>
      <c r="B1" s="2" t="s">
        <v>158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</row>
    <row r="2" ht="20" customHeight="1" spans="1:14" x14ac:dyDescent="0.25">
      <c r="A2" s="3" t="s">
        <v>124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</row>
    <row r="3" ht="26" customHeight="1" spans="1:14" x14ac:dyDescent="0.25">
      <c r="A3" s="4" t="s">
        <v>159</v>
      </c>
      <c r="B3" s="4" t="s">
        <v>160</v>
      </c>
      <c r="C3" s="4" t="s">
        <v>161</v>
      </c>
      <c r="D3" s="4" t="s">
        <v>162</v>
      </c>
      <c r="E3" s="4" t="s">
        <v>163</v>
      </c>
      <c r="F3" s="4" t="s">
        <v>164</v>
      </c>
      <c r="G3" s="4" t="s">
        <v>165</v>
      </c>
      <c r="H3" s="4" t="s">
        <v>166</v>
      </c>
      <c r="I3" s="4" t="s">
        <v>167</v>
      </c>
      <c r="J3" s="4" t="s">
        <v>168</v>
      </c>
      <c r="K3" s="4" t="s">
        <v>169</v>
      </c>
      <c r="L3" s="4" t="s">
        <v>170</v>
      </c>
      <c r="M3" s="4" t="s">
        <v>171</v>
      </c>
      <c r="N3" s="4" t="s">
        <v>7</v>
      </c>
    </row>
    <row r="4" ht="24" customHeight="1" spans="1:14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ht="24" customHeight="1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ht="24" customHeight="1" spans="1:14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ht="24" customHeight="1" spans="1:14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ht="24" customHeight="1" spans="1:1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ht="24" customHeight="1" spans="1:14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ht="24" customHeight="1" spans="1:14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ht="24" customHeight="1" spans="1:14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ht="24" customHeight="1" spans="1:14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ht="24" customHeight="1" spans="1:14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ht="24" customHeight="1" spans="1:14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ht="24" customHeight="1" spans="1:14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D18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0" customWidth="1"/>
    <col min="2" max="2" width="14" customWidth="1"/>
    <col min="3" max="3" width="55" customWidth="1"/>
    <col min="4" max="4" width="42" customWidth="1"/>
  </cols>
  <sheetData>
    <row r="1" ht="28" customHeight="1" spans="1:4" x14ac:dyDescent="0.25">
      <c r="A1" s="1" t="s">
        <v>0</v>
      </c>
      <c r="B1" s="2" t="s">
        <v>172</v>
      </c>
      <c r="C1" s="63"/>
      <c r="D1" s="63"/>
    </row>
    <row r="2" ht="20" customHeight="1" spans="1:4" x14ac:dyDescent="0.25">
      <c r="A2" s="3" t="s">
        <v>173</v>
      </c>
      <c r="B2" s="64"/>
      <c r="C2" s="64"/>
      <c r="D2" s="64"/>
    </row>
    <row r="3" ht="26" customHeight="1" spans="1:4" x14ac:dyDescent="0.25">
      <c r="A3" s="4" t="s">
        <v>4</v>
      </c>
      <c r="B3" s="4" t="s">
        <v>174</v>
      </c>
      <c r="C3" s="4" t="s">
        <v>175</v>
      </c>
      <c r="D3" s="4" t="s">
        <v>176</v>
      </c>
    </row>
    <row r="4" ht="32" customHeight="1" spans="1:4" x14ac:dyDescent="0.25">
      <c r="A4" s="65" t="s">
        <v>8</v>
      </c>
      <c r="B4" s="66" t="s">
        <v>177</v>
      </c>
      <c r="C4" s="7" t="s">
        <v>178</v>
      </c>
      <c r="D4" s="67" t="s">
        <v>179</v>
      </c>
    </row>
    <row r="5" ht="32" customHeight="1" spans="1:4" x14ac:dyDescent="0.25">
      <c r="A5" s="65" t="s">
        <v>8</v>
      </c>
      <c r="B5" s="68" t="s">
        <v>180</v>
      </c>
      <c r="C5" s="10" t="s">
        <v>181</v>
      </c>
      <c r="D5" s="69" t="s">
        <v>182</v>
      </c>
    </row>
    <row r="6" ht="32" customHeight="1" spans="1:4" x14ac:dyDescent="0.25">
      <c r="A6" s="65" t="s">
        <v>8</v>
      </c>
      <c r="B6" s="66" t="s">
        <v>183</v>
      </c>
      <c r="C6" s="7" t="s">
        <v>184</v>
      </c>
      <c r="D6" s="67" t="s">
        <v>185</v>
      </c>
    </row>
    <row r="7" ht="32" customHeight="1" spans="1:4" x14ac:dyDescent="0.25">
      <c r="A7" s="65" t="s">
        <v>11</v>
      </c>
      <c r="B7" s="68" t="s">
        <v>186</v>
      </c>
      <c r="C7" s="10" t="s">
        <v>187</v>
      </c>
      <c r="D7" s="69" t="s">
        <v>188</v>
      </c>
    </row>
    <row r="8" ht="32" customHeight="1" spans="1:4" x14ac:dyDescent="0.25">
      <c r="A8" s="65" t="s">
        <v>11</v>
      </c>
      <c r="B8" s="66" t="s">
        <v>189</v>
      </c>
      <c r="C8" s="7" t="s">
        <v>190</v>
      </c>
      <c r="D8" s="67" t="s">
        <v>191</v>
      </c>
    </row>
    <row r="9" ht="32" customHeight="1" spans="1:4" x14ac:dyDescent="0.25">
      <c r="A9" s="65" t="s">
        <v>13</v>
      </c>
      <c r="B9" s="68" t="s">
        <v>192</v>
      </c>
      <c r="C9" s="10" t="s">
        <v>193</v>
      </c>
      <c r="D9" s="69" t="s">
        <v>194</v>
      </c>
    </row>
    <row r="10" ht="32" customHeight="1" spans="1:4" x14ac:dyDescent="0.25">
      <c r="A10" s="65" t="s">
        <v>13</v>
      </c>
      <c r="B10" s="66" t="s">
        <v>195</v>
      </c>
      <c r="C10" s="7" t="s">
        <v>196</v>
      </c>
      <c r="D10" s="67" t="s">
        <v>197</v>
      </c>
    </row>
    <row r="11" ht="32" customHeight="1" spans="1:4" x14ac:dyDescent="0.25">
      <c r="A11" s="65" t="s">
        <v>13</v>
      </c>
      <c r="B11" s="68" t="s">
        <v>198</v>
      </c>
      <c r="C11" s="10" t="s">
        <v>199</v>
      </c>
      <c r="D11" s="69" t="s">
        <v>200</v>
      </c>
    </row>
    <row r="12" ht="32" customHeight="1" spans="1:4" x14ac:dyDescent="0.25">
      <c r="A12" s="65" t="s">
        <v>13</v>
      </c>
      <c r="B12" s="66" t="s">
        <v>201</v>
      </c>
      <c r="C12" s="7" t="s">
        <v>202</v>
      </c>
      <c r="D12" s="67" t="s">
        <v>203</v>
      </c>
    </row>
    <row r="13" ht="32" customHeight="1" spans="1:4" x14ac:dyDescent="0.25">
      <c r="A13" s="65" t="s">
        <v>15</v>
      </c>
      <c r="B13" s="68" t="s">
        <v>132</v>
      </c>
      <c r="C13" s="10" t="s">
        <v>204</v>
      </c>
      <c r="D13" s="69" t="s">
        <v>205</v>
      </c>
    </row>
    <row r="14" ht="32" customHeight="1" spans="1:4" x14ac:dyDescent="0.25">
      <c r="A14" s="65" t="s">
        <v>15</v>
      </c>
      <c r="B14" s="66" t="s">
        <v>206</v>
      </c>
      <c r="C14" s="7" t="s">
        <v>207</v>
      </c>
      <c r="D14" s="67" t="s">
        <v>208</v>
      </c>
    </row>
    <row r="15" ht="32" customHeight="1" spans="1:4" x14ac:dyDescent="0.25">
      <c r="A15" s="65" t="s">
        <v>15</v>
      </c>
      <c r="B15" s="68" t="s">
        <v>81</v>
      </c>
      <c r="C15" s="10" t="s">
        <v>209</v>
      </c>
      <c r="D15" s="69" t="s">
        <v>210</v>
      </c>
    </row>
    <row r="16" ht="32" customHeight="1" spans="1:4" x14ac:dyDescent="0.25">
      <c r="A16" s="65" t="s">
        <v>18</v>
      </c>
      <c r="B16" s="66" t="s">
        <v>211</v>
      </c>
      <c r="C16" s="7" t="s">
        <v>212</v>
      </c>
      <c r="D16" s="67" t="s">
        <v>213</v>
      </c>
    </row>
    <row r="17" ht="32" customHeight="1" spans="1:4" x14ac:dyDescent="0.25">
      <c r="A17" s="65" t="s">
        <v>18</v>
      </c>
      <c r="B17" s="68" t="s">
        <v>214</v>
      </c>
      <c r="C17" s="10" t="s">
        <v>215</v>
      </c>
      <c r="D17" s="69" t="s">
        <v>216</v>
      </c>
    </row>
    <row r="18" ht="32" customHeight="1" spans="1:4" x14ac:dyDescent="0.25">
      <c r="A18" s="65" t="s">
        <v>18</v>
      </c>
      <c r="B18" s="66" t="s">
        <v>217</v>
      </c>
      <c r="C18" s="7" t="s">
        <v>218</v>
      </c>
      <c r="D18" s="67" t="s">
        <v>219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Checklist</vt:lpstr>
      <vt:lpstr>Daily P&amp;L</vt:lpstr>
      <vt:lpstr>Risk calculator</vt:lpstr>
      <vt:lpstr>Trade log</vt:lpstr>
      <vt:lpstr>Loss review</vt:lpstr>
      <vt:lpstr>Weekly</vt:lpstr>
      <vt:lpstr>Rules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2026-10-20T09:13:07Z</dcterms:created>
  <dcterms:modified xsi:type="dcterms:W3CDTF">2026-10-20T09:13:07Z</dcterms:modified>
</cp:coreProperties>
</file>