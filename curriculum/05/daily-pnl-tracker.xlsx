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  <sheet sheetId="2" name="Risk calculator" state="visible" r:id="rId5"/>
  </sheets>
  <calcPr calcId="171027"/>
</workbook>
</file>

<file path=xl/sharedStrings.xml><?xml version="1.0" encoding="utf-8"?>
<sst xmlns="http://schemas.openxmlformats.org/spreadsheetml/2006/main" count="84" uniqueCount="81">
  <si>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</si>
  <si>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</si>
  <si>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</si>
  <si>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</si>
  <si>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</si>
  <si>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</si>
  <si>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</si>
  <si>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</si>
  <si>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</si>
  <si>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</si>
  <si>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</si>
  <si>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</si>
  <si>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</si>
  <si>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</si>
  <si>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</si>
  <si>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</si>
  <si>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</si>
  <si>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</si>
  <si>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</si>
  <si>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</si>
  <si>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</si>
  <si>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</si>
  <si>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</si>
  <si>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RISK &amp; POSITION SIZE</t>
  </si>
  <si>
    <t>Gold cells = edit · Size from dollars you can lose · Educational only · Not financial advice · @tradersveezy</t>
  </si>
  <si>
    <t>01 · ACCOUNT</t>
  </si>
  <si>
    <t>02 · LEVELS</t>
  </si>
  <si>
    <t>THE MATH</t>
  </si>
  <si>
    <t>Account size $</t>
  </si>
  <si>
    <t>Direction</t>
  </si>
  <si>
    <t>LONG</t>
  </si>
  <si>
    <t>Risk $</t>
  </si>
  <si>
    <t>Account × Risk %</t>
  </si>
  <si>
    <t>Risk per trade %</t>
  </si>
  <si>
    <t>Entry</t>
  </si>
  <si>
    <t>Stop dist</t>
  </si>
  <si>
    <t>|Entry − Stop|</t>
  </si>
  <si>
    <t>Max daily loss %</t>
  </si>
  <si>
    <t>Stop (invalidation)</t>
  </si>
  <si>
    <t>Size</t>
  </si>
  <si>
    <t>Risk $ ÷ Stop dist</t>
  </si>
  <si>
    <t>Playbook default: ~1% risk · hard stop before you size</t>
  </si>
  <si>
    <t>Target</t>
  </si>
  <si>
    <t>R:R</t>
  </si>
  <si>
    <t>Reward dist ÷ Stop dist</t>
  </si>
  <si>
    <t>Stop past the level that kills the idea — not a random %</t>
  </si>
  <si>
    <t>Reward $</t>
  </si>
  <si>
    <t>Risk $ × R:R</t>
  </si>
  <si>
    <t>03 · RISK BUDGET</t>
  </si>
  <si>
    <t>04 · POSITION</t>
  </si>
  <si>
    <t>DESK RULES</t>
  </si>
  <si>
    <t>Dollars at risk</t>
  </si>
  <si>
    <t>Stop distance</t>
  </si>
  <si>
    <t>01  Size from dollars you can lose — never from “how many coins feel right.”</t>
  </si>
  <si>
    <t>Max daily loss $</t>
  </si>
  <si>
    <t>Stop distance %</t>
  </si>
  <si>
    <t>02  Under ~1.5R is usually a pass unless the playbook says otherwise.</t>
  </si>
  <si>
    <t>Trades left today @ risk</t>
  </si>
  <si>
    <t>Position size (units)</t>
  </si>
  <si>
    <t>03  Widen the stop → shrink size. Never widen the stop to keep size.</t>
  </si>
  <si>
    <t>Hit max daily loss → stop trading. Process over vibes.</t>
  </si>
  <si>
    <t>Notional $</t>
  </si>
  <si>
    <t>04  Max daily loss ends the session. No revenge trades.</t>
  </si>
  <si>
    <t>Reward distance</t>
  </si>
  <si>
    <t>05  Line: You can't regret a well thought out plan.</t>
  </si>
  <si>
    <t>R : R</t>
  </si>
  <si>
    <t>Reward $ if hit</t>
  </si>
  <si>
    <t>Verdict</t>
  </si>
  <si>
    <t>05 · LEVEL CHECK</t>
  </si>
  <si>
    <t>06 · RISK LADDER · same stop, different risk %</t>
  </si>
  <si>
    <t>Risk %</t>
  </si>
  <si>
    <t>$ at risk</t>
  </si>
  <si>
    <t>Position size</t>
  </si>
  <si>
    <t>If target hits</t>
  </si>
  <si>
    <t>07 · QUICK PRESETS · tap a risk %, then size updates above</t>
  </si>
  <si>
    <t>Half percent — tight days</t>
  </si>
  <si>
    <t>Standard playbook</t>
  </si>
  <si>
    <t>High conviction only</t>
  </si>
  <si>
    <t>Stretch — rare</t>
  </si>
  <si>
    <t>Copy a preset % into B6 (Risk per trade). Size, notional, and ladder highlight follow.</t>
  </si>
  <si>
    <t>Example levels pre-filled (100 → 97 stop → 106 target). Replace with your trade. Account pulls from Daily P&amp;L starting balance when that tab exists.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</si>
</sst>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&quot;$&quot;#,##0.00"/>
    <numFmt numFmtId="166" formatCode="yyyy-mm-dd"/>
    <numFmt numFmtId="167" formatCode="0.0000"/>
    <numFmt numFmtId="168" formatCode="#,##0.0000"/>
  </numFmts>
  <fonts count="20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060606"/>
      <sz val="13"/>
      <name val="Arial"/>
    </font>
    <font>
      <color rgb="FFF2F1EE"/>
      <sz val="10"/>
      <name val="Arial"/>
    </font>
    <font>
      <i/>
      <color rgb="FFA9A59D"/>
      <sz val="9"/>
      <name val="Arial"/>
    </font>
    <font>
      <color rgb="FFD8D4CC"/>
      <sz val="9"/>
      <name val="Arial"/>
    </font>
    <font>
      <b/>
      <color rgb="FFF2F1EE"/>
      <sz val="12"/>
      <name val="Arial"/>
    </font>
    <font>
      <b/>
      <color rgb="FFC9922F"/>
      <sz val="10"/>
      <name val="Arial"/>
    </font>
    <font>
      <color rgb="FFA9A59D"/>
      <sz val="8"/>
      <name val="Arial"/>
    </font>
    <font>
      <i/>
      <color rgb="FFD8D4CC"/>
      <sz val="9"/>
      <name val="Arial"/>
    </font>
  </fonts>
  <fills count="12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  <fill>
      <patternFill patternType="solid">
        <fgColor rgb="FF0B0B0B"/>
      </patternFill>
    </fill>
    <fill>
      <patternFill patternType="solid">
        <fgColor rgb="FFD9533B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left" vertical="center" indent="1"/>
    </xf>
    <xf numFmtId="165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left" vertical="center" indent="1"/>
    </xf>
    <xf numFmtId="10" fontId="12" fillId="3" borderId="2" xfId="0" applyNumberFormat="1" applyFont="1" applyFill="1" applyBorder="1" applyAlignment="1">
      <alignment horizontal="center" vertical="center"/>
    </xf>
    <xf numFmtId="2" fontId="12" fillId="3" borderId="2" xfId="0" applyNumberFormat="1" applyFont="1" applyFill="1" applyBorder="1" applyAlignment="1">
      <alignment horizontal="center" vertical="center"/>
    </xf>
    <xf numFmtId="0" fontId="14" fillId="10" borderId="0" xfId="0" applyFont="1" applyFill="1" applyAlignment="1">
      <alignment horizontal="left" vertical="center" indent="1"/>
    </xf>
    <xf numFmtId="165" fontId="7" fillId="9" borderId="3" xfId="0" applyNumberFormat="1" applyFont="1" applyFill="1" applyBorder="1" applyAlignment="1">
      <alignment horizontal="center"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15" fillId="10" borderId="3" xfId="0" applyFont="1" applyFill="1" applyBorder="1" applyAlignment="1">
      <alignment vertical="center" wrapText="1" indent="1"/>
    </xf>
    <xf numFmtId="165" fontId="16" fillId="11" borderId="3" xfId="0" applyNumberFormat="1" applyFont="1" applyFill="1" applyBorder="1" applyAlignment="1">
      <alignment horizontal="center" vertical="center"/>
    </xf>
    <xf numFmtId="10" fontId="7" fillId="5" borderId="3" xfId="0" applyNumberFormat="1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vertical="center" wrapText="1" indent="1"/>
    </xf>
    <xf numFmtId="1" fontId="7" fillId="5" borderId="3" xfId="0" applyNumberFormat="1" applyFont="1" applyFill="1" applyBorder="1" applyAlignment="1">
      <alignment horizontal="center" vertical="center"/>
    </xf>
    <xf numFmtId="168" fontId="7" fillId="3" borderId="3" xfId="0" applyNumberFormat="1" applyFont="1" applyFill="1" applyBorder="1" applyAlignment="1">
      <alignment horizontal="center" vertical="center"/>
    </xf>
    <xf numFmtId="165" fontId="7" fillId="5" borderId="3" xfId="0" applyNumberFormat="1" applyFont="1" applyFill="1" applyBorder="1" applyAlignment="1">
      <alignment horizontal="center" vertical="center"/>
    </xf>
    <xf numFmtId="2" fontId="7" fillId="9" borderId="3" xfId="0" applyNumberFormat="1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17" fillId="5" borderId="4" xfId="0" applyNumberFormat="1" applyFont="1" applyFill="1" applyBorder="1" applyAlignment="1">
      <alignment horizontal="center" vertical="center"/>
    </xf>
    <xf numFmtId="165" fontId="9" fillId="5" borderId="4" xfId="0" applyNumberFormat="1" applyFont="1" applyFill="1" applyBorder="1" applyAlignment="1">
      <alignment horizontal="center" vertical="center"/>
    </xf>
    <xf numFmtId="168" fontId="9" fillId="5" borderId="4" xfId="0" applyNumberFormat="1" applyFont="1" applyFill="1" applyBorder="1" applyAlignment="1">
      <alignment horizontal="center" vertical="center"/>
    </xf>
    <xf numFmtId="10" fontId="17" fillId="7" borderId="4" xfId="0" applyNumberFormat="1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168" fontId="9" fillId="7" borderId="4" xfId="0" applyNumberFormat="1" applyFont="1" applyFill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 wrapText="1"/>
    </xf>
    <xf numFmtId="0" fontId="19" fillId="10" borderId="0" xfId="0" applyFont="1" applyFill="1"/>
    <xf numFmtId="0" fontId="5" fillId="10" borderId="0" xfId="0" applyFont="1" applyFill="1"/>
  </cellXfs>
  <cellStyles count="1">
    <cellStyle name="Normal" xfId="0" builtinId="0"/>
  </cellStyles>
  <dxfs count="5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ont>
        <b/>
      </font>
      <fill>
        <patternFill patternType="solid">
          <bgColor rgb="FFE8D5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46315.38993024305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J37"/>
  <sheetViews>
    <sheetView workbookViewId="0" showGridLines="0">
      <pane ySplit="2" topLeftCell="A3" activePane="bottomLeft" state="frozen"/>
      <selection pane="bottomLeft" activeCell="C5" sqref="C5"/>
    </sheetView>
  </sheetViews>
  <sheetFormatPr defaultRowHeight="22" outlineLevelRow="0" outlineLevelCol="0" x14ac:dyDescent="55" customHeight="1"/>
  <cols>
    <col min="1" max="1" width="22" customWidth="1"/>
    <col min="2" max="2" width="16" customWidth="1"/>
    <col min="3" max="3" width="3" customWidth="1"/>
    <col min="4" max="4" width="22" customWidth="1"/>
    <col min="5" max="5" width="16" customWidth="1"/>
    <col min="6" max="6" width="3" customWidth="1"/>
    <col min="7" max="7" width="18" customWidth="1"/>
    <col min="8" max="10" width="14" customWidth="1"/>
  </cols>
  <sheetData>
    <row r="1" ht="28" customHeight="1" spans="1:10" x14ac:dyDescent="0.25">
      <c r="A1" s="1" t="s">
        <v>0</v>
      </c>
      <c r="B1" s="2" t="s">
        <v>23</v>
      </c>
      <c r="C1" s="2"/>
      <c r="D1" s="2"/>
      <c r="E1" s="2"/>
      <c r="F1" s="2"/>
      <c r="G1" s="2"/>
      <c r="H1" s="2"/>
      <c r="I1" s="2"/>
      <c r="J1" s="2"/>
    </row>
    <row r="2" ht="20" customHeight="1" spans="1:10" x14ac:dyDescent="0.25">
      <c r="A2" s="5" t="s">
        <v>24</v>
      </c>
      <c r="B2" s="5"/>
      <c r="C2" s="5"/>
      <c r="D2" s="5"/>
      <c r="E2" s="5"/>
      <c r="F2" s="5"/>
      <c r="G2" s="5"/>
      <c r="H2" s="5"/>
      <c r="I2" s="5"/>
      <c r="J2" s="5"/>
    </row>
    <row r="4" ht="26" customHeight="1" spans="1:10" x14ac:dyDescent="0.25">
      <c r="A4" s="3" t="s">
        <v>25</v>
      </c>
      <c r="B4" s="3"/>
      <c r="D4" s="3" t="s">
        <v>26</v>
      </c>
      <c r="E4" s="3"/>
      <c r="G4" s="3" t="s">
        <v>27</v>
      </c>
      <c r="H4" s="3"/>
      <c r="I4" s="3"/>
      <c r="J4" s="3"/>
    </row>
    <row r="5" spans="1:10" x14ac:dyDescent="0.25">
      <c r="A5" s="29" t="s">
        <v>28</v>
      </c>
      <c r="B5" s="30">
        <f>IFERROR(IF('Daily P&amp;L'!$L$3="",10000,'Daily P&amp;L'!$L$3),10000)</f>
      </c>
      <c r="D5" s="29" t="s">
        <v>29</v>
      </c>
      <c r="E5" s="31" t="s">
        <v>30</v>
      </c>
      <c r="G5" s="29" t="s">
        <v>31</v>
      </c>
      <c r="H5" s="32" t="s">
        <v>32</v>
      </c>
      <c r="I5" s="32"/>
      <c r="J5" s="32"/>
    </row>
    <row r="6" spans="1:10" x14ac:dyDescent="0.25">
      <c r="A6" s="29" t="s">
        <v>33</v>
      </c>
      <c r="B6" s="33">
        <v>0.01</v>
      </c>
      <c r="D6" s="29" t="s">
        <v>34</v>
      </c>
      <c r="E6" s="34">
        <v>100</v>
      </c>
      <c r="G6" s="29" t="s">
        <v>35</v>
      </c>
      <c r="H6" s="32" t="s">
        <v>36</v>
      </c>
      <c r="I6" s="32"/>
      <c r="J6" s="32"/>
    </row>
    <row r="7" spans="1:10" x14ac:dyDescent="0.25">
      <c r="A7" s="29" t="s">
        <v>37</v>
      </c>
      <c r="B7" s="33">
        <v>0.03</v>
      </c>
      <c r="D7" s="29" t="s">
        <v>38</v>
      </c>
      <c r="E7" s="34">
        <v>97</v>
      </c>
      <c r="G7" s="29" t="s">
        <v>39</v>
      </c>
      <c r="H7" s="32" t="s">
        <v>40</v>
      </c>
      <c r="I7" s="32"/>
      <c r="J7" s="32"/>
    </row>
    <row r="8" spans="1:10" x14ac:dyDescent="0.25">
      <c r="A8" s="35" t="s">
        <v>41</v>
      </c>
      <c r="B8" s="35"/>
      <c r="D8" s="29" t="s">
        <v>42</v>
      </c>
      <c r="E8" s="34">
        <v>106</v>
      </c>
      <c r="G8" s="29" t="s">
        <v>43</v>
      </c>
      <c r="H8" s="32" t="s">
        <v>44</v>
      </c>
      <c r="I8" s="32"/>
      <c r="J8" s="32"/>
    </row>
    <row r="9" spans="4:10" x14ac:dyDescent="0.25">
      <c r="D9" s="35" t="s">
        <v>45</v>
      </c>
      <c r="E9" s="35"/>
      <c r="G9" s="29" t="s">
        <v>46</v>
      </c>
      <c r="H9" s="32" t="s">
        <v>47</v>
      </c>
      <c r="I9" s="32"/>
      <c r="J9" s="32"/>
    </row>
    <row r="11" ht="26" customHeight="1" spans="1:10" x14ac:dyDescent="0.25">
      <c r="A11" s="3" t="s">
        <v>48</v>
      </c>
      <c r="B11" s="3"/>
      <c r="D11" s="3" t="s">
        <v>49</v>
      </c>
      <c r="E11" s="3"/>
      <c r="G11" s="3" t="s">
        <v>50</v>
      </c>
      <c r="H11" s="3"/>
      <c r="I11" s="3"/>
      <c r="J11" s="3"/>
    </row>
    <row r="12" ht="36" customHeight="1" spans="1:10" x14ac:dyDescent="0.25">
      <c r="A12" s="29" t="s">
        <v>51</v>
      </c>
      <c r="B12" s="36">
        <f>IFERROR($B$5*$B$6,0)</f>
      </c>
      <c r="D12" s="29" t="s">
        <v>52</v>
      </c>
      <c r="E12" s="37">
        <f>IFERROR(ABS($E$6-$E$7),0)</f>
      </c>
      <c r="G12" s="38" t="s">
        <v>53</v>
      </c>
      <c r="H12" s="38"/>
      <c r="I12" s="38"/>
      <c r="J12" s="38"/>
    </row>
    <row r="13" ht="36" customHeight="1" spans="1:10" x14ac:dyDescent="0.25">
      <c r="A13" s="29" t="s">
        <v>54</v>
      </c>
      <c r="B13" s="39">
        <f>IFERROR($B$5*$B$7,0)</f>
      </c>
      <c r="D13" s="29" t="s">
        <v>55</v>
      </c>
      <c r="E13" s="40">
        <f>IFERROR(ABS($E$6-$E$7)/$E$6,0)</f>
      </c>
      <c r="G13" s="41" t="s">
        <v>56</v>
      </c>
      <c r="H13" s="41"/>
      <c r="I13" s="41"/>
      <c r="J13" s="41"/>
    </row>
    <row r="14" ht="36" customHeight="1" spans="1:10" x14ac:dyDescent="0.25">
      <c r="A14" s="29" t="s">
        <v>57</v>
      </c>
      <c r="B14" s="42">
        <f>IFERROR(INT($B$7/$B$6),0)</f>
      </c>
      <c r="D14" s="29" t="s">
        <v>58</v>
      </c>
      <c r="E14" s="43">
        <f>IFERROR(IF(ABS($E$6-$E$7)=0,"",($B$5*$B$6)/ABS($E$6-$E$7)),"")</f>
      </c>
      <c r="G14" s="38" t="s">
        <v>59</v>
      </c>
      <c r="H14" s="38"/>
      <c r="I14" s="38"/>
      <c r="J14" s="38"/>
    </row>
    <row r="15" ht="36" customHeight="1" spans="1:10" x14ac:dyDescent="0.25">
      <c r="A15" s="35" t="s">
        <v>60</v>
      </c>
      <c r="B15" s="35"/>
      <c r="D15" s="29" t="s">
        <v>61</v>
      </c>
      <c r="E15" s="44">
        <f>IFERROR(E14*$E$6,"")</f>
      </c>
      <c r="G15" s="41" t="s">
        <v>62</v>
      </c>
      <c r="H15" s="41"/>
      <c r="I15" s="41"/>
      <c r="J15" s="41"/>
    </row>
    <row r="16" ht="36" customHeight="1" spans="4:10" x14ac:dyDescent="0.25">
      <c r="D16" s="29" t="s">
        <v>63</v>
      </c>
      <c r="E16" s="37">
        <f>IFERROR(ABS($E$8-$E$6),0)</f>
      </c>
      <c r="G16" s="38" t="s">
        <v>64</v>
      </c>
      <c r="H16" s="38"/>
      <c r="I16" s="38"/>
      <c r="J16" s="38"/>
    </row>
    <row r="17" spans="4:5" x14ac:dyDescent="0.25">
      <c r="D17" s="29" t="s">
        <v>65</v>
      </c>
      <c r="E17" s="45">
        <f>IFERROR(IF(ABS($E$6-$E$7)=0,"",ABS($E$8-$E$6)/ABS($E$6-$E$7)),"")</f>
      </c>
    </row>
    <row r="18" spans="4:5" x14ac:dyDescent="0.25">
      <c r="D18" s="29" t="s">
        <v>66</v>
      </c>
      <c r="E18" s="36">
        <f>IFERROR(($B$5*$B$6)*E17,"")</f>
      </c>
    </row>
    <row r="19" spans="4:5" x14ac:dyDescent="0.25">
      <c r="D19" s="29" t="s">
        <v>67</v>
      </c>
      <c r="E19" s="46">
        <f>IF(E17="","Enter levels",IF(E17&lt;1.5,"Usually a pass",IF(E17&lt;2,"Borderline",IF(E17&gt;=3,"Strong asymmetry","Worth a look"))))</f>
      </c>
    </row>
    <row r="21" ht="26" customHeight="1" spans="1:5" x14ac:dyDescent="0.25">
      <c r="A21" s="3" t="s">
        <v>68</v>
      </c>
      <c r="B21" s="3"/>
      <c r="C21" s="3"/>
      <c r="D21" s="3"/>
      <c r="E21" s="3"/>
    </row>
    <row r="22" ht="28" customHeight="1" spans="1:5" x14ac:dyDescent="0.25">
      <c r="A22" s="47">
        <f>IF(OR($E$6="",$E$7="",$E$8=""),"Fill entry, stop, target",IF(AND(UPPER($E$5)="LONG",$E$7&lt;$E$6,$E$8&gt;$E$6),"LONG levels look consistent",IF(AND(UPPER($E$5)="SHORT",$E$7&gt;$E$6,$E$8&lt;$E$6),"SHORT levels look consistent","CHECK LEVELS — stop/target side does not match direction")))</f>
      </c>
      <c r="B22" s="47"/>
      <c r="C22" s="47"/>
      <c r="D22" s="47"/>
      <c r="E22" s="47"/>
    </row>
    <row r="24" ht="26" customHeight="1" spans="1:5" x14ac:dyDescent="0.25">
      <c r="A24" s="3" t="s">
        <v>69</v>
      </c>
      <c r="B24" s="3"/>
      <c r="C24" s="3"/>
      <c r="D24" s="3"/>
      <c r="E24" s="3"/>
    </row>
    <row r="25" spans="1:5" x14ac:dyDescent="0.25">
      <c r="A25" s="25" t="s">
        <v>70</v>
      </c>
      <c r="B25" s="25" t="s">
        <v>71</v>
      </c>
      <c r="C25" s="25" t="s">
        <v>72</v>
      </c>
      <c r="D25" s="25" t="s">
        <v>61</v>
      </c>
      <c r="E25" s="25" t="s">
        <v>73</v>
      </c>
    </row>
    <row r="26" ht="24" customHeight="1" spans="1:5" x14ac:dyDescent="0.25">
      <c r="A26" s="48">
        <v>0.005</v>
      </c>
      <c r="B26" s="49">
        <f>$B$5*A26</f>
      </c>
      <c r="C26" s="50">
        <f>IFERROR(IF(ABS($E$6-$E$7)=0,"",($B$5*A26)/ABS($E$6-$E$7)),"")</f>
      </c>
      <c r="D26" s="49">
        <f>IFERROR(C26*$E$6,"")</f>
      </c>
      <c r="E26" s="49">
        <f>IFERROR(B26*$E$17,"")</f>
      </c>
    </row>
    <row r="27" ht="24" customHeight="1" spans="1:5" x14ac:dyDescent="0.25">
      <c r="A27" s="51">
        <v>0.01</v>
      </c>
      <c r="B27" s="52">
        <f>$B$5*A27</f>
      </c>
      <c r="C27" s="53">
        <f>IFERROR(IF(ABS($E$6-$E$7)=0,"",($B$5*A27)/ABS($E$6-$E$7)),"")</f>
      </c>
      <c r="D27" s="52">
        <f>IFERROR(C27*$E$6,"")</f>
      </c>
      <c r="E27" s="52">
        <f>IFERROR(B27*$E$17,"")</f>
      </c>
    </row>
    <row r="28" ht="24" customHeight="1" spans="1:5" x14ac:dyDescent="0.25">
      <c r="A28" s="48">
        <v>0.015</v>
      </c>
      <c r="B28" s="49">
        <f>$B$5*A28</f>
      </c>
      <c r="C28" s="50">
        <f>IFERROR(IF(ABS($E$6-$E$7)=0,"",($B$5*A28)/ABS($E$6-$E$7)),"")</f>
      </c>
      <c r="D28" s="49">
        <f>IFERROR(C28*$E$6,"")</f>
      </c>
      <c r="E28" s="49">
        <f>IFERROR(B28*$E$17,"")</f>
      </c>
    </row>
    <row r="29" ht="24" customHeight="1" spans="1:5" x14ac:dyDescent="0.25">
      <c r="A29" s="51">
        <v>0.02</v>
      </c>
      <c r="B29" s="52">
        <f>$B$5*A29</f>
      </c>
      <c r="C29" s="53">
        <f>IFERROR(IF(ABS($E$6-$E$7)=0,"",($B$5*A29)/ABS($E$6-$E$7)),"")</f>
      </c>
      <c r="D29" s="52">
        <f>IFERROR(C29*$E$6,"")</f>
      </c>
      <c r="E29" s="52">
        <f>IFERROR(B29*$E$17,"")</f>
      </c>
    </row>
    <row r="30" ht="24" customHeight="1" spans="1:5" x14ac:dyDescent="0.25">
      <c r="A30" s="48">
        <v>0.025</v>
      </c>
      <c r="B30" s="49">
        <f>$B$5*A30</f>
      </c>
      <c r="C30" s="50">
        <f>IFERROR(IF(ABS($E$6-$E$7)=0,"",($B$5*A30)/ABS($E$6-$E$7)),"")</f>
      </c>
      <c r="D30" s="49">
        <f>IFERROR(C30*$E$6,"")</f>
      </c>
      <c r="E30" s="49">
        <f>IFERROR(B30*$E$17,"")</f>
      </c>
    </row>
    <row r="32" ht="26" customHeight="1" spans="1:5" x14ac:dyDescent="0.25">
      <c r="A32" s="3" t="s">
        <v>74</v>
      </c>
      <c r="B32" s="3"/>
      <c r="C32" s="3"/>
      <c r="D32" s="3"/>
      <c r="E32" s="3"/>
    </row>
    <row r="33" ht="26" customHeight="1" spans="1:4" x14ac:dyDescent="0.25">
      <c r="A33" s="54">
        <v>0.005</v>
      </c>
      <c r="B33" s="54">
        <v>0.01</v>
      </c>
      <c r="C33" s="54">
        <v>0.015</v>
      </c>
      <c r="D33" s="54">
        <v>0.02</v>
      </c>
    </row>
    <row r="34" ht="32" customHeight="1" spans="1:4" x14ac:dyDescent="0.25">
      <c r="A34" s="55" t="s">
        <v>75</v>
      </c>
      <c r="B34" s="55" t="s">
        <v>76</v>
      </c>
      <c r="C34" s="55" t="s">
        <v>77</v>
      </c>
      <c r="D34" s="55" t="s">
        <v>78</v>
      </c>
    </row>
    <row r="35" spans="1:5" x14ac:dyDescent="0.25">
      <c r="A35" s="56" t="s">
        <v>79</v>
      </c>
      <c r="B35" s="56"/>
      <c r="C35" s="56"/>
      <c r="D35" s="56"/>
      <c r="E35" s="56"/>
    </row>
    <row r="37" spans="1:5" x14ac:dyDescent="0.25">
      <c r="A37" s="57" t="s">
        <v>80</v>
      </c>
      <c r="B37" s="57"/>
      <c r="C37" s="57"/>
      <c r="D37" s="57"/>
      <c r="E37" s="57"/>
    </row>
  </sheetData>
  <mergeCells count="27">
    <mergeCell ref="B1:J1"/>
    <mergeCell ref="A2:J2"/>
    <mergeCell ref="A4:B4"/>
    <mergeCell ref="D4:E4"/>
    <mergeCell ref="G4:J4"/>
    <mergeCell ref="H5:J5"/>
    <mergeCell ref="H6:J6"/>
    <mergeCell ref="H7:J7"/>
    <mergeCell ref="A8:B8"/>
    <mergeCell ref="H8:J8"/>
    <mergeCell ref="D9:E9"/>
    <mergeCell ref="H9:J9"/>
    <mergeCell ref="A11:B11"/>
    <mergeCell ref="D11:E11"/>
    <mergeCell ref="G11:J11"/>
    <mergeCell ref="G12:J12"/>
    <mergeCell ref="G13:J13"/>
    <mergeCell ref="G14:J14"/>
    <mergeCell ref="A15:B15"/>
    <mergeCell ref="G15:J15"/>
    <mergeCell ref="G16:J16"/>
    <mergeCell ref="A21:E21"/>
    <mergeCell ref="A22:E22"/>
    <mergeCell ref="A24:E24"/>
    <mergeCell ref="A32:E32"/>
    <mergeCell ref="A35:E35"/>
    <mergeCell ref="A37:E37"/>
  </mergeCells>
  <conditionalFormatting sqref="A26:E30">
    <cfRule type="expression" dxfId="4" priority="1">
      <formula>$A26=$B$6</formula>
    </cfRule>
  </conditionalFormatting>
  <dataValidations count="1">
    <dataValidation type="list" showErrorMessage="1" errorTitle="Direction" error="Pick LONG or SHORT." sqref="E5">
      <formula1>"LONG,SHORT"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P&amp;L</vt:lpstr>
      <vt:lpstr>Risk 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2026-10-20T09:21:29Z</dcterms:created>
  <dcterms:modified xsi:type="dcterms:W3CDTF">2026-10-20T09:21:29Z</dcterms:modified>
</cp:coreProperties>
</file>