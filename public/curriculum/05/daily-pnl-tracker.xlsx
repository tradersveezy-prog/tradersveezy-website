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&amp;L" state="visible" r:id="rId4"/>
  </sheets>
  <calcPr calcId="171027"/>
</workbook>
</file>

<file path=xl/sharedStrings.xml><?xml version="1.0" encoding="utf-8"?>
<sst xmlns="http://schemas.openxmlformats.org/spreadsheetml/2006/main" count="24" uniqueCount="23">
  <si>
    <t>TRADERSVEEZY</t>
  </si>
  <si>
    <t>COURSE 05 · DAILY P&amp;L TRACKER</t>
  </si>
  <si>
    <t>GOAL SETTINGS</t>
  </si>
  <si>
    <t>TRADE NOTES</t>
  </si>
  <si>
    <t>Set goal % + start balance on the right · Enter date + ending balance each day · Educational only · Not financial advice</t>
  </si>
  <si>
    <t>Daily profit goal</t>
  </si>
  <si>
    <t>Date</t>
  </si>
  <si>
    <t>Starting balance</t>
  </si>
  <si>
    <t>Ending balance</t>
  </si>
  <si>
    <t>Daily account goal</t>
  </si>
  <si>
    <t>Profit %</t>
  </si>
  <si>
    <t>Daily P&amp;L</t>
  </si>
  <si>
    <t>Daily goal $</t>
  </si>
  <si>
    <t>Beat goal by</t>
  </si>
  <si>
    <t>Notes</t>
  </si>
  <si>
    <t>Example row — replace with your numbers</t>
  </si>
  <si>
    <t>Total P&amp;L</t>
  </si>
  <si>
    <t>Avg daily P&amp;L</t>
  </si>
  <si>
    <t>Days logged</t>
  </si>
  <si>
    <t>Days beat goal</t>
  </si>
  <si>
    <t>EXPECTED PATH</t>
  </si>
  <si>
    <t>Day</t>
  </si>
  <si>
    <t>Target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</si>
</sst>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$&quot;#,##0.00"/>
    <numFmt numFmtId="166" formatCode="yyyy-mm-dd"/>
  </numFmts>
  <fonts count="12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060606"/>
      <sz val="11"/>
      <name val="Arial Black"/>
    </font>
    <font>
      <b/>
      <color rgb="FF060606"/>
      <sz val="9"/>
      <name val="Arial"/>
    </font>
    <font>
      <color rgb="FFA9A59D"/>
      <sz val="9"/>
      <name val="Arial"/>
    </font>
    <font>
      <b/>
      <color rgb="FFE3B44A"/>
      <sz val="9"/>
      <name val="Arial"/>
    </font>
    <font>
      <b/>
      <color rgb="FF060606"/>
      <sz val="12"/>
      <name val="Arial"/>
    </font>
    <font>
      <b/>
      <color rgb="FF060606"/>
      <sz val="10"/>
      <name val="Arial"/>
    </font>
    <font>
      <color rgb="FF060606"/>
      <sz val="10"/>
      <name val="Arial"/>
    </font>
    <font>
      <color rgb="FFC9922F"/>
      <sz val="10"/>
      <name val="Arial"/>
    </font>
    <font>
      <color rgb="FF060606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E3B44A"/>
      </patternFill>
    </fill>
    <fill>
      <patternFill patternType="solid">
        <fgColor rgb="FF161513"/>
      </patternFill>
    </fill>
    <fill>
      <patternFill patternType="solid">
        <fgColor rgb="FFF2F1EE"/>
      </patternFill>
    </fill>
    <fill>
      <patternFill patternType="solid">
        <fgColor rgb="FFF1FAF5"/>
      </patternFill>
    </fill>
    <fill>
      <patternFill patternType="solid">
        <fgColor rgb="FFFFFFFF"/>
      </patternFill>
    </fill>
    <fill>
      <patternFill patternType="solid">
        <fgColor rgb="FFE8F5EF"/>
      </patternFill>
    </fill>
    <fill>
      <patternFill patternType="solid">
        <fgColor rgb="FF4FB286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0" fillId="5" borderId="4" xfId="0" applyFill="1" applyBorder="1"/>
    <xf numFmtId="0" fontId="8" fillId="3" borderId="2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vertical="center" wrapText="1"/>
    </xf>
    <xf numFmtId="165" fontId="9" fillId="5" borderId="4" xfId="0" applyNumberFormat="1" applyFont="1" applyFill="1" applyBorder="1" applyAlignment="1">
      <alignment vertical="center" wrapText="1"/>
    </xf>
    <xf numFmtId="165" fontId="8" fillId="3" borderId="4" xfId="0" applyNumberFormat="1" applyFont="1" applyFill="1" applyBorder="1" applyAlignment="1">
      <alignment vertical="center" wrapText="1"/>
    </xf>
    <xf numFmtId="165" fontId="10" fillId="5" borderId="4" xfId="0" applyNumberFormat="1" applyFont="1" applyFill="1" applyBorder="1" applyAlignment="1">
      <alignment vertical="center" wrapText="1"/>
    </xf>
    <xf numFmtId="10" fontId="9" fillId="5" borderId="4" xfId="0" applyNumberFormat="1" applyFont="1" applyFill="1" applyBorder="1" applyAlignment="1">
      <alignment vertical="center" wrapText="1"/>
    </xf>
    <xf numFmtId="165" fontId="9" fillId="6" borderId="4" xfId="0" applyNumberFormat="1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165" fontId="9" fillId="7" borderId="4" xfId="0" applyNumberFormat="1" applyFont="1" applyFill="1" applyBorder="1" applyAlignment="1">
      <alignment vertical="center" wrapText="1"/>
    </xf>
    <xf numFmtId="165" fontId="10" fillId="7" borderId="4" xfId="0" applyNumberFormat="1" applyFont="1" applyFill="1" applyBorder="1" applyAlignment="1">
      <alignment vertical="center" wrapText="1"/>
    </xf>
    <xf numFmtId="10" fontId="9" fillId="7" borderId="4" xfId="0" applyNumberFormat="1" applyFont="1" applyFill="1" applyBorder="1" applyAlignment="1">
      <alignment vertical="center" wrapText="1"/>
    </xf>
    <xf numFmtId="165" fontId="9" fillId="8" borderId="4" xfId="0" applyNumberFormat="1" applyFont="1" applyFill="1" applyBorder="1" applyAlignment="1">
      <alignment vertical="center" wrapText="1"/>
    </xf>
    <xf numFmtId="165" fontId="7" fillId="9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11" fillId="5" borderId="4" xfId="0" applyNumberFormat="1" applyFont="1" applyFill="1" applyBorder="1" applyAlignment="1">
      <alignment horizontal="right" vertical="center"/>
    </xf>
    <xf numFmtId="165" fontId="11" fillId="7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N43"/>
  <sheetViews>
    <sheetView workbookViewId="0" showGridLines="0">
      <pane ySplit="3" topLeftCell="A4" activePane="bottomLeft" state="frozen"/>
      <selection pane="bottomLeft" activeCell="C4" sqref="C4"/>
    </sheetView>
  </sheetViews>
  <sheetFormatPr defaultRowHeight="22" outlineLevelRow="0" outlineLevelCol="0" x14ac:dyDescent="55" customHeight="1"/>
  <cols>
    <col min="1" max="1" width="12" customWidth="1"/>
    <col min="2" max="3" width="15" customWidth="1"/>
    <col min="4" max="4" width="16" customWidth="1"/>
    <col min="5" max="5" width="11" customWidth="1"/>
    <col min="6" max="8" width="12" customWidth="1"/>
    <col min="9" max="9" width="28" customWidth="1"/>
    <col min="11" max="11" width="18" customWidth="1"/>
    <col min="12" max="12" width="14" customWidth="1"/>
    <col min="13" max="13" width="16" customWidth="1"/>
    <col min="14" max="14" width="22" customWidth="1"/>
  </cols>
  <sheetData>
    <row r="1" ht="28" customHeight="1" spans="1:14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K1" s="3" t="s">
        <v>2</v>
      </c>
      <c r="L1" s="3"/>
      <c r="N1" s="4" t="s">
        <v>3</v>
      </c>
    </row>
    <row r="2" ht="20" customHeight="1" spans="1:14" x14ac:dyDescent="0.25">
      <c r="A2" s="5" t="s">
        <v>4</v>
      </c>
      <c r="B2" s="5"/>
      <c r="C2" s="5"/>
      <c r="D2" s="5"/>
      <c r="E2" s="5"/>
      <c r="F2" s="5"/>
      <c r="G2" s="5"/>
      <c r="H2" s="5"/>
      <c r="I2" s="5"/>
      <c r="K2" s="6" t="s">
        <v>5</v>
      </c>
      <c r="L2" s="7">
        <v>0.02</v>
      </c>
      <c r="N2" s="8"/>
    </row>
    <row r="3" ht="26" customHeight="1" spans="1:14" x14ac:dyDescent="0.2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K3" s="6" t="s">
        <v>7</v>
      </c>
      <c r="L3" s="10">
        <v>1000</v>
      </c>
      <c r="N3" s="8"/>
    </row>
    <row r="4" ht="24" customHeight="1" spans="1:14" x14ac:dyDescent="0.25">
      <c r="A4" s="11">
        <v>46311.30627862268</v>
      </c>
      <c r="B4" s="12">
        <f>IF($L$3="","",$L$3)</f>
      </c>
      <c r="C4" s="13">
        <v>1020</v>
      </c>
      <c r="D4" s="14">
        <f>IF(B4="","",B4*(1+$L$2))</f>
      </c>
      <c r="E4" s="15">
        <f>IF(OR(B4="",C4=""),"",(C4-B4)/B4)</f>
      </c>
      <c r="F4" s="16">
        <f>IF(OR(B4="",C4=""),"",C4-B4)</f>
      </c>
      <c r="G4" s="12">
        <f>IF(B4="","",B4*$L$2)</f>
      </c>
      <c r="H4" s="12">
        <f>IF(OR(B4="",C4=""),"",F4-G4)</f>
      </c>
      <c r="I4" s="17" t="s">
        <v>15</v>
      </c>
      <c r="N4" s="8"/>
    </row>
    <row r="5" ht="24" customHeight="1" spans="1:14" x14ac:dyDescent="0.25">
      <c r="A5" s="18"/>
      <c r="B5" s="19">
        <f>IF(C4="","",C4)</f>
      </c>
      <c r="C5" s="13"/>
      <c r="D5" s="20">
        <f>IF(B5="","",B5*(1+$L$2))</f>
      </c>
      <c r="E5" s="21">
        <f>IF(OR(B5="",C5=""),"",(C5-B5)/B5)</f>
      </c>
      <c r="F5" s="22">
        <f>IF(OR(B5="",C5=""),"",C5-B5)</f>
      </c>
      <c r="G5" s="19">
        <f>IF(B5="","",B5*$L$2)</f>
      </c>
      <c r="H5" s="19">
        <f>IF(OR(B5="",C5=""),"",F5-G5)</f>
      </c>
      <c r="I5" s="18"/>
      <c r="K5" s="6" t="s">
        <v>16</v>
      </c>
      <c r="L5" s="23">
        <f>SUMIF(F4:F63,"&lt;&gt;")</f>
      </c>
      <c r="N5" s="8"/>
    </row>
    <row r="6" ht="24" customHeight="1" spans="1:14" x14ac:dyDescent="0.25">
      <c r="A6" s="17"/>
      <c r="B6" s="12">
        <f>IF(C5="","",C5)</f>
      </c>
      <c r="C6" s="13"/>
      <c r="D6" s="14">
        <f>IF(B6="","",B6*(1+$L$2))</f>
      </c>
      <c r="E6" s="15">
        <f>IF(OR(B6="",C6=""),"",(C6-B6)/B6)</f>
      </c>
      <c r="F6" s="16">
        <f>IF(OR(B6="",C6=""),"",C6-B6)</f>
      </c>
      <c r="G6" s="12">
        <f>IF(B6="","",B6*$L$2)</f>
      </c>
      <c r="H6" s="12">
        <f>IF(OR(B6="",C6=""),"",F6-G6)</f>
      </c>
      <c r="I6" s="17"/>
      <c r="K6" s="6" t="s">
        <v>17</v>
      </c>
      <c r="L6" s="10">
        <f>IFERROR(AVERAGEIF(F4:F63,"&lt;&gt;"),0)</f>
      </c>
      <c r="N6" s="8"/>
    </row>
    <row r="7" ht="24" customHeight="1" spans="1:14" x14ac:dyDescent="0.25">
      <c r="A7" s="18"/>
      <c r="B7" s="19">
        <f>IF(C6="","",C6)</f>
      </c>
      <c r="C7" s="13"/>
      <c r="D7" s="20">
        <f>IF(B7="","",B7*(1+$L$2))</f>
      </c>
      <c r="E7" s="21">
        <f>IF(OR(B7="",C7=""),"",(C7-B7)/B7)</f>
      </c>
      <c r="F7" s="22">
        <f>IF(OR(B7="",C7=""),"",C7-B7)</f>
      </c>
      <c r="G7" s="19">
        <f>IF(B7="","",B7*$L$2)</f>
      </c>
      <c r="H7" s="19">
        <f>IF(OR(B7="",C7=""),"",F7-G7)</f>
      </c>
      <c r="I7" s="18"/>
      <c r="K7" s="6" t="s">
        <v>18</v>
      </c>
      <c r="L7" s="24">
        <f>COUNTA(A4:A63)</f>
      </c>
      <c r="N7" s="8"/>
    </row>
    <row r="8" ht="24" customHeight="1" spans="1:14" x14ac:dyDescent="0.25">
      <c r="A8" s="17"/>
      <c r="B8" s="12">
        <f>IF(C7="","",C7)</f>
      </c>
      <c r="C8" s="13"/>
      <c r="D8" s="14">
        <f>IF(B8="","",B8*(1+$L$2))</f>
      </c>
      <c r="E8" s="15">
        <f>IF(OR(B8="",C8=""),"",(C8-B8)/B8)</f>
      </c>
      <c r="F8" s="16">
        <f>IF(OR(B8="",C8=""),"",C8-B8)</f>
      </c>
      <c r="G8" s="12">
        <f>IF(B8="","",B8*$L$2)</f>
      </c>
      <c r="H8" s="12">
        <f>IF(OR(B8="",C8=""),"",F8-G8)</f>
      </c>
      <c r="I8" s="17"/>
      <c r="K8" s="6" t="s">
        <v>19</v>
      </c>
      <c r="L8" s="24">
        <f>COUNTIF(H4:H63,"&gt;0")</f>
      </c>
      <c r="N8" s="8"/>
    </row>
    <row r="9" ht="24" customHeight="1" spans="1:14" x14ac:dyDescent="0.25">
      <c r="A9" s="18"/>
      <c r="B9" s="19">
        <f>IF(C8="","",C8)</f>
      </c>
      <c r="C9" s="13"/>
      <c r="D9" s="20">
        <f>IF(B9="","",B9*(1+$L$2))</f>
      </c>
      <c r="E9" s="21">
        <f>IF(OR(B9="",C9=""),"",(C9-B9)/B9)</f>
      </c>
      <c r="F9" s="22">
        <f>IF(OR(B9="",C9=""),"",C9-B9)</f>
      </c>
      <c r="G9" s="19">
        <f>IF(B9="","",B9*$L$2)</f>
      </c>
      <c r="H9" s="19">
        <f>IF(OR(B9="",C9=""),"",F9-G9)</f>
      </c>
      <c r="I9" s="18"/>
      <c r="N9" s="8"/>
    </row>
    <row r="10" ht="24" customHeight="1" spans="1:14" x14ac:dyDescent="0.25">
      <c r="A10" s="17"/>
      <c r="B10" s="12">
        <f>IF(C9="","",C9)</f>
      </c>
      <c r="C10" s="13"/>
      <c r="D10" s="14">
        <f>IF(B10="","",B10*(1+$L$2))</f>
      </c>
      <c r="E10" s="15">
        <f>IF(OR(B10="",C10=""),"",(C10-B10)/B10)</f>
      </c>
      <c r="F10" s="16">
        <f>IF(OR(B10="",C10=""),"",C10-B10)</f>
      </c>
      <c r="G10" s="12">
        <f>IF(B10="","",B10*$L$2)</f>
      </c>
      <c r="H10" s="12">
        <f>IF(OR(B10="",C10=""),"",F10-G10)</f>
      </c>
      <c r="I10" s="17"/>
      <c r="K10" s="25" t="s">
        <v>20</v>
      </c>
      <c r="L10" s="25"/>
      <c r="N10" s="8"/>
    </row>
    <row r="11" ht="24" customHeight="1" spans="1:14" x14ac:dyDescent="0.25">
      <c r="A11" s="18"/>
      <c r="B11" s="19">
        <f>IF(C10="","",C10)</f>
      </c>
      <c r="C11" s="13"/>
      <c r="D11" s="20">
        <f>IF(B11="","",B11*(1+$L$2))</f>
      </c>
      <c r="E11" s="21">
        <f>IF(OR(B11="",C11=""),"",(C11-B11)/B11)</f>
      </c>
      <c r="F11" s="22">
        <f>IF(OR(B11="",C11=""),"",C11-B11)</f>
      </c>
      <c r="G11" s="19">
        <f>IF(B11="","",B11*$L$2)</f>
      </c>
      <c r="H11" s="19">
        <f>IF(OR(B11="",C11=""),"",F11-G11)</f>
      </c>
      <c r="I11" s="18"/>
      <c r="K11" s="6" t="s">
        <v>21</v>
      </c>
      <c r="L11" s="25" t="s">
        <v>22</v>
      </c>
      <c r="N11" s="8"/>
    </row>
    <row r="12" ht="24" customHeight="1" spans="1:14" x14ac:dyDescent="0.25">
      <c r="A12" s="17"/>
      <c r="B12" s="12">
        <f>IF(C11="","",C11)</f>
      </c>
      <c r="C12" s="13"/>
      <c r="D12" s="14">
        <f>IF(B12="","",B12*(1+$L$2))</f>
      </c>
      <c r="E12" s="15">
        <f>IF(OR(B12="",C12=""),"",(C12-B12)/B12)</f>
      </c>
      <c r="F12" s="16">
        <f>IF(OR(B12="",C12=""),"",C12-B12)</f>
      </c>
      <c r="G12" s="12">
        <f>IF(B12="","",B12*$L$2)</f>
      </c>
      <c r="H12" s="12">
        <f>IF(OR(B12="",C12=""),"",F12-G12)</f>
      </c>
      <c r="I12" s="17"/>
      <c r="K12" s="26">
        <v>1</v>
      </c>
      <c r="L12" s="27">
        <f>$L$3*((1+$L$2)^1)</f>
      </c>
      <c r="N12" s="8"/>
    </row>
    <row r="13" ht="24" customHeight="1" spans="1:12" x14ac:dyDescent="0.25">
      <c r="A13" s="18"/>
      <c r="B13" s="19">
        <f>IF(C12="","",C12)</f>
      </c>
      <c r="C13" s="13"/>
      <c r="D13" s="20">
        <f>IF(B13="","",B13*(1+$L$2))</f>
      </c>
      <c r="E13" s="21">
        <f>IF(OR(B13="",C13=""),"",(C13-B13)/B13)</f>
      </c>
      <c r="F13" s="22">
        <f>IF(OR(B13="",C13=""),"",C13-B13)</f>
      </c>
      <c r="G13" s="19">
        <f>IF(B13="","",B13*$L$2)</f>
      </c>
      <c r="H13" s="19">
        <f>IF(OR(B13="",C13=""),"",F13-G13)</f>
      </c>
      <c r="I13" s="18"/>
      <c r="K13" s="26">
        <v>2</v>
      </c>
      <c r="L13" s="28">
        <f>$L$3*((1+$L$2)^2)</f>
      </c>
    </row>
    <row r="14" ht="24" customHeight="1" spans="1:12" x14ac:dyDescent="0.25">
      <c r="A14" s="17"/>
      <c r="B14" s="12">
        <f>IF(C13="","",C13)</f>
      </c>
      <c r="C14" s="13"/>
      <c r="D14" s="14">
        <f>IF(B14="","",B14*(1+$L$2))</f>
      </c>
      <c r="E14" s="15">
        <f>IF(OR(B14="",C14=""),"",(C14-B14)/B14)</f>
      </c>
      <c r="F14" s="16">
        <f>IF(OR(B14="",C14=""),"",C14-B14)</f>
      </c>
      <c r="G14" s="12">
        <f>IF(B14="","",B14*$L$2)</f>
      </c>
      <c r="H14" s="12">
        <f>IF(OR(B14="",C14=""),"",F14-G14)</f>
      </c>
      <c r="I14" s="17"/>
      <c r="K14" s="26">
        <v>3</v>
      </c>
      <c r="L14" s="27">
        <f>$L$3*((1+$L$2)^3)</f>
      </c>
    </row>
    <row r="15" ht="24" customHeight="1" spans="1:12" x14ac:dyDescent="0.25">
      <c r="A15" s="18"/>
      <c r="B15" s="19">
        <f>IF(C14="","",C14)</f>
      </c>
      <c r="C15" s="13"/>
      <c r="D15" s="20">
        <f>IF(B15="","",B15*(1+$L$2))</f>
      </c>
      <c r="E15" s="21">
        <f>IF(OR(B15="",C15=""),"",(C15-B15)/B15)</f>
      </c>
      <c r="F15" s="22">
        <f>IF(OR(B15="",C15=""),"",C15-B15)</f>
      </c>
      <c r="G15" s="19">
        <f>IF(B15="","",B15*$L$2)</f>
      </c>
      <c r="H15" s="19">
        <f>IF(OR(B15="",C15=""),"",F15-G15)</f>
      </c>
      <c r="I15" s="18"/>
      <c r="K15" s="26">
        <v>4</v>
      </c>
      <c r="L15" s="28">
        <f>$L$3*((1+$L$2)^4)</f>
      </c>
    </row>
    <row r="16" ht="24" customHeight="1" spans="1:12" x14ac:dyDescent="0.25">
      <c r="A16" s="17"/>
      <c r="B16" s="12">
        <f>IF(C15="","",C15)</f>
      </c>
      <c r="C16" s="13"/>
      <c r="D16" s="14">
        <f>IF(B16="","",B16*(1+$L$2))</f>
      </c>
      <c r="E16" s="15">
        <f>IF(OR(B16="",C16=""),"",(C16-B16)/B16)</f>
      </c>
      <c r="F16" s="16">
        <f>IF(OR(B16="",C16=""),"",C16-B16)</f>
      </c>
      <c r="G16" s="12">
        <f>IF(B16="","",B16*$L$2)</f>
      </c>
      <c r="H16" s="12">
        <f>IF(OR(B16="",C16=""),"",F16-G16)</f>
      </c>
      <c r="I16" s="17"/>
      <c r="K16" s="26">
        <v>5</v>
      </c>
      <c r="L16" s="27">
        <f>$L$3*((1+$L$2)^5)</f>
      </c>
    </row>
    <row r="17" ht="24" customHeight="1" spans="1:12" x14ac:dyDescent="0.25">
      <c r="A17" s="18"/>
      <c r="B17" s="19">
        <f>IF(C16="","",C16)</f>
      </c>
      <c r="C17" s="13"/>
      <c r="D17" s="20">
        <f>IF(B17="","",B17*(1+$L$2))</f>
      </c>
      <c r="E17" s="21">
        <f>IF(OR(B17="",C17=""),"",(C17-B17)/B17)</f>
      </c>
      <c r="F17" s="22">
        <f>IF(OR(B17="",C17=""),"",C17-B17)</f>
      </c>
      <c r="G17" s="19">
        <f>IF(B17="","",B17*$L$2)</f>
      </c>
      <c r="H17" s="19">
        <f>IF(OR(B17="",C17=""),"",F17-G17)</f>
      </c>
      <c r="I17" s="18"/>
      <c r="K17" s="26">
        <v>6</v>
      </c>
      <c r="L17" s="28">
        <f>$L$3*((1+$L$2)^6)</f>
      </c>
    </row>
    <row r="18" ht="24" customHeight="1" spans="1:12" x14ac:dyDescent="0.25">
      <c r="A18" s="17"/>
      <c r="B18" s="12">
        <f>IF(C17="","",C17)</f>
      </c>
      <c r="C18" s="13"/>
      <c r="D18" s="14">
        <f>IF(B18="","",B18*(1+$L$2))</f>
      </c>
      <c r="E18" s="15">
        <f>IF(OR(B18="",C18=""),"",(C18-B18)/B18)</f>
      </c>
      <c r="F18" s="16">
        <f>IF(OR(B18="",C18=""),"",C18-B18)</f>
      </c>
      <c r="G18" s="12">
        <f>IF(B18="","",B18*$L$2)</f>
      </c>
      <c r="H18" s="12">
        <f>IF(OR(B18="",C18=""),"",F18-G18)</f>
      </c>
      <c r="I18" s="17"/>
      <c r="K18" s="26">
        <v>7</v>
      </c>
      <c r="L18" s="27">
        <f>$L$3*((1+$L$2)^7)</f>
      </c>
    </row>
    <row r="19" ht="24" customHeight="1" spans="1:12" x14ac:dyDescent="0.25">
      <c r="A19" s="18"/>
      <c r="B19" s="19">
        <f>IF(C18="","",C18)</f>
      </c>
      <c r="C19" s="13"/>
      <c r="D19" s="20">
        <f>IF(B19="","",B19*(1+$L$2))</f>
      </c>
      <c r="E19" s="21">
        <f>IF(OR(B19="",C19=""),"",(C19-B19)/B19)</f>
      </c>
      <c r="F19" s="22">
        <f>IF(OR(B19="",C19=""),"",C19-B19)</f>
      </c>
      <c r="G19" s="19">
        <f>IF(B19="","",B19*$L$2)</f>
      </c>
      <c r="H19" s="19">
        <f>IF(OR(B19="",C19=""),"",F19-G19)</f>
      </c>
      <c r="I19" s="18"/>
      <c r="K19" s="26">
        <v>8</v>
      </c>
      <c r="L19" s="28">
        <f>$L$3*((1+$L$2)^8)</f>
      </c>
    </row>
    <row r="20" ht="24" customHeight="1" spans="1:12" x14ac:dyDescent="0.25">
      <c r="A20" s="17"/>
      <c r="B20" s="12">
        <f>IF(C19="","",C19)</f>
      </c>
      <c r="C20" s="13"/>
      <c r="D20" s="14">
        <f>IF(B20="","",B20*(1+$L$2))</f>
      </c>
      <c r="E20" s="15">
        <f>IF(OR(B20="",C20=""),"",(C20-B20)/B20)</f>
      </c>
      <c r="F20" s="16">
        <f>IF(OR(B20="",C20=""),"",C20-B20)</f>
      </c>
      <c r="G20" s="12">
        <f>IF(B20="","",B20*$L$2)</f>
      </c>
      <c r="H20" s="12">
        <f>IF(OR(B20="",C20=""),"",F20-G20)</f>
      </c>
      <c r="I20" s="17"/>
      <c r="K20" s="26">
        <v>9</v>
      </c>
      <c r="L20" s="27">
        <f>$L$3*((1+$L$2)^9)</f>
      </c>
    </row>
    <row r="21" ht="24" customHeight="1" spans="1:12" x14ac:dyDescent="0.25">
      <c r="A21" s="18"/>
      <c r="B21" s="19">
        <f>IF(C20="","",C20)</f>
      </c>
      <c r="C21" s="13"/>
      <c r="D21" s="20">
        <f>IF(B21="","",B21*(1+$L$2))</f>
      </c>
      <c r="E21" s="21">
        <f>IF(OR(B21="",C21=""),"",(C21-B21)/B21)</f>
      </c>
      <c r="F21" s="22">
        <f>IF(OR(B21="",C21=""),"",C21-B21)</f>
      </c>
      <c r="G21" s="19">
        <f>IF(B21="","",B21*$L$2)</f>
      </c>
      <c r="H21" s="19">
        <f>IF(OR(B21="",C21=""),"",F21-G21)</f>
      </c>
      <c r="I21" s="18"/>
      <c r="K21" s="26">
        <v>10</v>
      </c>
      <c r="L21" s="28">
        <f>$L$3*((1+$L$2)^10)</f>
      </c>
    </row>
    <row r="22" ht="24" customHeight="1" spans="1:12" x14ac:dyDescent="0.25">
      <c r="A22" s="17"/>
      <c r="B22" s="12">
        <f>IF(C21="","",C21)</f>
      </c>
      <c r="C22" s="13"/>
      <c r="D22" s="14">
        <f>IF(B22="","",B22*(1+$L$2))</f>
      </c>
      <c r="E22" s="15">
        <f>IF(OR(B22="",C22=""),"",(C22-B22)/B22)</f>
      </c>
      <c r="F22" s="16">
        <f>IF(OR(B22="",C22=""),"",C22-B22)</f>
      </c>
      <c r="G22" s="12">
        <f>IF(B22="","",B22*$L$2)</f>
      </c>
      <c r="H22" s="12">
        <f>IF(OR(B22="",C22=""),"",F22-G22)</f>
      </c>
      <c r="I22" s="17"/>
      <c r="K22" s="26">
        <v>11</v>
      </c>
      <c r="L22" s="27">
        <f>$L$3*((1+$L$2)^11)</f>
      </c>
    </row>
    <row r="23" ht="24" customHeight="1" spans="1:12" x14ac:dyDescent="0.25">
      <c r="A23" s="18"/>
      <c r="B23" s="19">
        <f>IF(C22="","",C22)</f>
      </c>
      <c r="C23" s="13"/>
      <c r="D23" s="20">
        <f>IF(B23="","",B23*(1+$L$2))</f>
      </c>
      <c r="E23" s="21">
        <f>IF(OR(B23="",C23=""),"",(C23-B23)/B23)</f>
      </c>
      <c r="F23" s="22">
        <f>IF(OR(B23="",C23=""),"",C23-B23)</f>
      </c>
      <c r="G23" s="19">
        <f>IF(B23="","",B23*$L$2)</f>
      </c>
      <c r="H23" s="19">
        <f>IF(OR(B23="",C23=""),"",F23-G23)</f>
      </c>
      <c r="I23" s="18"/>
      <c r="K23" s="26">
        <v>12</v>
      </c>
      <c r="L23" s="28">
        <f>$L$3*((1+$L$2)^12)</f>
      </c>
    </row>
    <row r="24" ht="24" customHeight="1" spans="1:12" x14ac:dyDescent="0.25">
      <c r="A24" s="17"/>
      <c r="B24" s="12">
        <f>IF(C23="","",C23)</f>
      </c>
      <c r="C24" s="13"/>
      <c r="D24" s="14">
        <f>IF(B24="","",B24*(1+$L$2))</f>
      </c>
      <c r="E24" s="15">
        <f>IF(OR(B24="",C24=""),"",(C24-B24)/B24)</f>
      </c>
      <c r="F24" s="16">
        <f>IF(OR(B24="",C24=""),"",C24-B24)</f>
      </c>
      <c r="G24" s="12">
        <f>IF(B24="","",B24*$L$2)</f>
      </c>
      <c r="H24" s="12">
        <f>IF(OR(B24="",C24=""),"",F24-G24)</f>
      </c>
      <c r="I24" s="17"/>
      <c r="K24" s="26">
        <v>13</v>
      </c>
      <c r="L24" s="27">
        <f>$L$3*((1+$L$2)^13)</f>
      </c>
    </row>
    <row r="25" ht="24" customHeight="1" spans="1:12" x14ac:dyDescent="0.25">
      <c r="A25" s="18"/>
      <c r="B25" s="19">
        <f>IF(C24="","",C24)</f>
      </c>
      <c r="C25" s="13"/>
      <c r="D25" s="20">
        <f>IF(B25="","",B25*(1+$L$2))</f>
      </c>
      <c r="E25" s="21">
        <f>IF(OR(B25="",C25=""),"",(C25-B25)/B25)</f>
      </c>
      <c r="F25" s="22">
        <f>IF(OR(B25="",C25=""),"",C25-B25)</f>
      </c>
      <c r="G25" s="19">
        <f>IF(B25="","",B25*$L$2)</f>
      </c>
      <c r="H25" s="19">
        <f>IF(OR(B25="",C25=""),"",F25-G25)</f>
      </c>
      <c r="I25" s="18"/>
      <c r="K25" s="26">
        <v>14</v>
      </c>
      <c r="L25" s="28">
        <f>$L$3*((1+$L$2)^14)</f>
      </c>
    </row>
    <row r="26" ht="24" customHeight="1" spans="1:12" x14ac:dyDescent="0.25">
      <c r="A26" s="17"/>
      <c r="B26" s="12">
        <f>IF(C25="","",C25)</f>
      </c>
      <c r="C26" s="13"/>
      <c r="D26" s="14">
        <f>IF(B26="","",B26*(1+$L$2))</f>
      </c>
      <c r="E26" s="15">
        <f>IF(OR(B26="",C26=""),"",(C26-B26)/B26)</f>
      </c>
      <c r="F26" s="16">
        <f>IF(OR(B26="",C26=""),"",C26-B26)</f>
      </c>
      <c r="G26" s="12">
        <f>IF(B26="","",B26*$L$2)</f>
      </c>
      <c r="H26" s="12">
        <f>IF(OR(B26="",C26=""),"",F26-G26)</f>
      </c>
      <c r="I26" s="17"/>
      <c r="K26" s="26">
        <v>15</v>
      </c>
      <c r="L26" s="27">
        <f>$L$3*((1+$L$2)^15)</f>
      </c>
    </row>
    <row r="27" ht="24" customHeight="1" spans="1:12" x14ac:dyDescent="0.25">
      <c r="A27" s="18"/>
      <c r="B27" s="19">
        <f>IF(C26="","",C26)</f>
      </c>
      <c r="C27" s="13"/>
      <c r="D27" s="20">
        <f>IF(B27="","",B27*(1+$L$2))</f>
      </c>
      <c r="E27" s="21">
        <f>IF(OR(B27="",C27=""),"",(C27-B27)/B27)</f>
      </c>
      <c r="F27" s="22">
        <f>IF(OR(B27="",C27=""),"",C27-B27)</f>
      </c>
      <c r="G27" s="19">
        <f>IF(B27="","",B27*$L$2)</f>
      </c>
      <c r="H27" s="19">
        <f>IF(OR(B27="",C27=""),"",F27-G27)</f>
      </c>
      <c r="I27" s="18"/>
      <c r="K27" s="26">
        <v>16</v>
      </c>
      <c r="L27" s="28">
        <f>$L$3*((1+$L$2)^16)</f>
      </c>
    </row>
    <row r="28" ht="24" customHeight="1" spans="1:12" x14ac:dyDescent="0.25">
      <c r="A28" s="17"/>
      <c r="B28" s="12">
        <f>IF(C27="","",C27)</f>
      </c>
      <c r="C28" s="13"/>
      <c r="D28" s="14">
        <f>IF(B28="","",B28*(1+$L$2))</f>
      </c>
      <c r="E28" s="15">
        <f>IF(OR(B28="",C28=""),"",(C28-B28)/B28)</f>
      </c>
      <c r="F28" s="16">
        <f>IF(OR(B28="",C28=""),"",C28-B28)</f>
      </c>
      <c r="G28" s="12">
        <f>IF(B28="","",B28*$L$2)</f>
      </c>
      <c r="H28" s="12">
        <f>IF(OR(B28="",C28=""),"",F28-G28)</f>
      </c>
      <c r="I28" s="17"/>
      <c r="K28" s="26">
        <v>17</v>
      </c>
      <c r="L28" s="27">
        <f>$L$3*((1+$L$2)^17)</f>
      </c>
    </row>
    <row r="29" ht="24" customHeight="1" spans="1:12" x14ac:dyDescent="0.25">
      <c r="A29" s="18"/>
      <c r="B29" s="19">
        <f>IF(C28="","",C28)</f>
      </c>
      <c r="C29" s="13"/>
      <c r="D29" s="20">
        <f>IF(B29="","",B29*(1+$L$2))</f>
      </c>
      <c r="E29" s="21">
        <f>IF(OR(B29="",C29=""),"",(C29-B29)/B29)</f>
      </c>
      <c r="F29" s="22">
        <f>IF(OR(B29="",C29=""),"",C29-B29)</f>
      </c>
      <c r="G29" s="19">
        <f>IF(B29="","",B29*$L$2)</f>
      </c>
      <c r="H29" s="19">
        <f>IF(OR(B29="",C29=""),"",F29-G29)</f>
      </c>
      <c r="I29" s="18"/>
      <c r="K29" s="26">
        <v>18</v>
      </c>
      <c r="L29" s="28">
        <f>$L$3*((1+$L$2)^18)</f>
      </c>
    </row>
    <row r="30" ht="24" customHeight="1" spans="1:12" x14ac:dyDescent="0.25">
      <c r="A30" s="17"/>
      <c r="B30" s="12">
        <f>IF(C29="","",C29)</f>
      </c>
      <c r="C30" s="13"/>
      <c r="D30" s="14">
        <f>IF(B30="","",B30*(1+$L$2))</f>
      </c>
      <c r="E30" s="15">
        <f>IF(OR(B30="",C30=""),"",(C30-B30)/B30)</f>
      </c>
      <c r="F30" s="16">
        <f>IF(OR(B30="",C30=""),"",C30-B30)</f>
      </c>
      <c r="G30" s="12">
        <f>IF(B30="","",B30*$L$2)</f>
      </c>
      <c r="H30" s="12">
        <f>IF(OR(B30="",C30=""),"",F30-G30)</f>
      </c>
      <c r="I30" s="17"/>
      <c r="K30" s="26">
        <v>19</v>
      </c>
      <c r="L30" s="27">
        <f>$L$3*((1+$L$2)^19)</f>
      </c>
    </row>
    <row r="31" ht="24" customHeight="1" spans="1:12" x14ac:dyDescent="0.25">
      <c r="A31" s="18"/>
      <c r="B31" s="19">
        <f>IF(C30="","",C30)</f>
      </c>
      <c r="C31" s="13"/>
      <c r="D31" s="20">
        <f>IF(B31="","",B31*(1+$L$2))</f>
      </c>
      <c r="E31" s="21">
        <f>IF(OR(B31="",C31=""),"",(C31-B31)/B31)</f>
      </c>
      <c r="F31" s="22">
        <f>IF(OR(B31="",C31=""),"",C31-B31)</f>
      </c>
      <c r="G31" s="19">
        <f>IF(B31="","",B31*$L$2)</f>
      </c>
      <c r="H31" s="19">
        <f>IF(OR(B31="",C31=""),"",F31-G31)</f>
      </c>
      <c r="I31" s="18"/>
      <c r="K31" s="26">
        <v>20</v>
      </c>
      <c r="L31" s="28">
        <f>$L$3*((1+$L$2)^20)</f>
      </c>
    </row>
    <row r="32" ht="24" customHeight="1" spans="1:9" x14ac:dyDescent="0.25">
      <c r="A32" s="17"/>
      <c r="B32" s="12">
        <f>IF(C31="","",C31)</f>
      </c>
      <c r="C32" s="13"/>
      <c r="D32" s="14">
        <f>IF(B32="","",B32*(1+$L$2))</f>
      </c>
      <c r="E32" s="15">
        <f>IF(OR(B32="",C32=""),"",(C32-B32)/B32)</f>
      </c>
      <c r="F32" s="16">
        <f>IF(OR(B32="",C32=""),"",C32-B32)</f>
      </c>
      <c r="G32" s="12">
        <f>IF(B32="","",B32*$L$2)</f>
      </c>
      <c r="H32" s="12">
        <f>IF(OR(B32="",C32=""),"",F32-G32)</f>
      </c>
      <c r="I32" s="17"/>
    </row>
    <row r="33" ht="24" customHeight="1" spans="1:9" x14ac:dyDescent="0.25">
      <c r="A33" s="18"/>
      <c r="B33" s="19">
        <f>IF(C32="","",C32)</f>
      </c>
      <c r="C33" s="13"/>
      <c r="D33" s="20">
        <f>IF(B33="","",B33*(1+$L$2))</f>
      </c>
      <c r="E33" s="21">
        <f>IF(OR(B33="",C33=""),"",(C33-B33)/B33)</f>
      </c>
      <c r="F33" s="22">
        <f>IF(OR(B33="",C33=""),"",C33-B33)</f>
      </c>
      <c r="G33" s="19">
        <f>IF(B33="","",B33*$L$2)</f>
      </c>
      <c r="H33" s="19">
        <f>IF(OR(B33="",C33=""),"",F33-G33)</f>
      </c>
      <c r="I33" s="18"/>
    </row>
    <row r="34" ht="24" customHeight="1" spans="1:9" x14ac:dyDescent="0.25">
      <c r="A34" s="17"/>
      <c r="B34" s="12">
        <f>IF(C33="","",C33)</f>
      </c>
      <c r="C34" s="13"/>
      <c r="D34" s="14">
        <f>IF(B34="","",B34*(1+$L$2))</f>
      </c>
      <c r="E34" s="15">
        <f>IF(OR(B34="",C34=""),"",(C34-B34)/B34)</f>
      </c>
      <c r="F34" s="16">
        <f>IF(OR(B34="",C34=""),"",C34-B34)</f>
      </c>
      <c r="G34" s="12">
        <f>IF(B34="","",B34*$L$2)</f>
      </c>
      <c r="H34" s="12">
        <f>IF(OR(B34="",C34=""),"",F34-G34)</f>
      </c>
      <c r="I34" s="17"/>
    </row>
    <row r="35" ht="24" customHeight="1" spans="1:9" x14ac:dyDescent="0.25">
      <c r="A35" s="18"/>
      <c r="B35" s="19">
        <f>IF(C34="","",C34)</f>
      </c>
      <c r="C35" s="13"/>
      <c r="D35" s="20">
        <f>IF(B35="","",B35*(1+$L$2))</f>
      </c>
      <c r="E35" s="21">
        <f>IF(OR(B35="",C35=""),"",(C35-B35)/B35)</f>
      </c>
      <c r="F35" s="22">
        <f>IF(OR(B35="",C35=""),"",C35-B35)</f>
      </c>
      <c r="G35" s="19">
        <f>IF(B35="","",B35*$L$2)</f>
      </c>
      <c r="H35" s="19">
        <f>IF(OR(B35="",C35=""),"",F35-G35)</f>
      </c>
      <c r="I35" s="18"/>
    </row>
    <row r="36" ht="24" customHeight="1" spans="1:9" x14ac:dyDescent="0.25">
      <c r="A36" s="17"/>
      <c r="B36" s="12">
        <f>IF(C35="","",C35)</f>
      </c>
      <c r="C36" s="13"/>
      <c r="D36" s="14">
        <f>IF(B36="","",B36*(1+$L$2))</f>
      </c>
      <c r="E36" s="15">
        <f>IF(OR(B36="",C36=""),"",(C36-B36)/B36)</f>
      </c>
      <c r="F36" s="16">
        <f>IF(OR(B36="",C36=""),"",C36-B36)</f>
      </c>
      <c r="G36" s="12">
        <f>IF(B36="","",B36*$L$2)</f>
      </c>
      <c r="H36" s="12">
        <f>IF(OR(B36="",C36=""),"",F36-G36)</f>
      </c>
      <c r="I36" s="17"/>
    </row>
    <row r="37" ht="24" customHeight="1" spans="1:9" x14ac:dyDescent="0.25">
      <c r="A37" s="18"/>
      <c r="B37" s="19">
        <f>IF(C36="","",C36)</f>
      </c>
      <c r="C37" s="13"/>
      <c r="D37" s="20">
        <f>IF(B37="","",B37*(1+$L$2))</f>
      </c>
      <c r="E37" s="21">
        <f>IF(OR(B37="",C37=""),"",(C37-B37)/B37)</f>
      </c>
      <c r="F37" s="22">
        <f>IF(OR(B37="",C37=""),"",C37-B37)</f>
      </c>
      <c r="G37" s="19">
        <f>IF(B37="","",B37*$L$2)</f>
      </c>
      <c r="H37" s="19">
        <f>IF(OR(B37="",C37=""),"",F37-G37)</f>
      </c>
      <c r="I37" s="18"/>
    </row>
    <row r="38" ht="24" customHeight="1" spans="1:9" x14ac:dyDescent="0.25">
      <c r="A38" s="17"/>
      <c r="B38" s="12">
        <f>IF(C37="","",C37)</f>
      </c>
      <c r="C38" s="13"/>
      <c r="D38" s="14">
        <f>IF(B38="","",B38*(1+$L$2))</f>
      </c>
      <c r="E38" s="15">
        <f>IF(OR(B38="",C38=""),"",(C38-B38)/B38)</f>
      </c>
      <c r="F38" s="16">
        <f>IF(OR(B38="",C38=""),"",C38-B38)</f>
      </c>
      <c r="G38" s="12">
        <f>IF(B38="","",B38*$L$2)</f>
      </c>
      <c r="H38" s="12">
        <f>IF(OR(B38="",C38=""),"",F38-G38)</f>
      </c>
      <c r="I38" s="17"/>
    </row>
    <row r="39" ht="24" customHeight="1" spans="1:9" x14ac:dyDescent="0.25">
      <c r="A39" s="18"/>
      <c r="B39" s="19">
        <f>IF(C38="","",C38)</f>
      </c>
      <c r="C39" s="13"/>
      <c r="D39" s="20">
        <f>IF(B39="","",B39*(1+$L$2))</f>
      </c>
      <c r="E39" s="21">
        <f>IF(OR(B39="",C39=""),"",(C39-B39)/B39)</f>
      </c>
      <c r="F39" s="22">
        <f>IF(OR(B39="",C39=""),"",C39-B39)</f>
      </c>
      <c r="G39" s="19">
        <f>IF(B39="","",B39*$L$2)</f>
      </c>
      <c r="H39" s="19">
        <f>IF(OR(B39="",C39=""),"",F39-G39)</f>
      </c>
      <c r="I39" s="18"/>
    </row>
    <row r="40" ht="24" customHeight="1" spans="1:9" x14ac:dyDescent="0.25">
      <c r="A40" s="17"/>
      <c r="B40" s="12">
        <f>IF(C39="","",C39)</f>
      </c>
      <c r="C40" s="13"/>
      <c r="D40" s="14">
        <f>IF(B40="","",B40*(1+$L$2))</f>
      </c>
      <c r="E40" s="15">
        <f>IF(OR(B40="",C40=""),"",(C40-B40)/B40)</f>
      </c>
      <c r="F40" s="16">
        <f>IF(OR(B40="",C40=""),"",C40-B40)</f>
      </c>
      <c r="G40" s="12">
        <f>IF(B40="","",B40*$L$2)</f>
      </c>
      <c r="H40" s="12">
        <f>IF(OR(B40="",C40=""),"",F40-G40)</f>
      </c>
      <c r="I40" s="17"/>
    </row>
    <row r="41" ht="24" customHeight="1" spans="1:9" x14ac:dyDescent="0.25">
      <c r="A41" s="18"/>
      <c r="B41" s="19">
        <f>IF(C40="","",C40)</f>
      </c>
      <c r="C41" s="13"/>
      <c r="D41" s="20">
        <f>IF(B41="","",B41*(1+$L$2))</f>
      </c>
      <c r="E41" s="21">
        <f>IF(OR(B41="",C41=""),"",(C41-B41)/B41)</f>
      </c>
      <c r="F41" s="22">
        <f>IF(OR(B41="",C41=""),"",C41-B41)</f>
      </c>
      <c r="G41" s="19">
        <f>IF(B41="","",B41*$L$2)</f>
      </c>
      <c r="H41" s="19">
        <f>IF(OR(B41="",C41=""),"",F41-G41)</f>
      </c>
      <c r="I41" s="18"/>
    </row>
    <row r="42" ht="24" customHeight="1" spans="1:9" x14ac:dyDescent="0.25">
      <c r="A42" s="17"/>
      <c r="B42" s="12">
        <f>IF(C41="","",C41)</f>
      </c>
      <c r="C42" s="13"/>
      <c r="D42" s="14">
        <f>IF(B42="","",B42*(1+$L$2))</f>
      </c>
      <c r="E42" s="15">
        <f>IF(OR(B42="",C42=""),"",(C42-B42)/B42)</f>
      </c>
      <c r="F42" s="16">
        <f>IF(OR(B42="",C42=""),"",C42-B42)</f>
      </c>
      <c r="G42" s="12">
        <f>IF(B42="","",B42*$L$2)</f>
      </c>
      <c r="H42" s="12">
        <f>IF(OR(B42="",C42=""),"",F42-G42)</f>
      </c>
      <c r="I42" s="17"/>
    </row>
    <row r="43" ht="24" customHeight="1" spans="1:9" x14ac:dyDescent="0.25">
      <c r="A43" s="18"/>
      <c r="B43" s="19">
        <f>IF(C42="","",C42)</f>
      </c>
      <c r="C43" s="13"/>
      <c r="D43" s="20">
        <f>IF(B43="","",B43*(1+$L$2))</f>
      </c>
      <c r="E43" s="21">
        <f>IF(OR(B43="",C43=""),"",(C43-B43)/B43)</f>
      </c>
      <c r="F43" s="22">
        <f>IF(OR(B43="",C43=""),"",C43-B43)</f>
      </c>
      <c r="G43" s="19">
        <f>IF(B43="","",B43*$L$2)</f>
      </c>
      <c r="H43" s="19">
        <f>IF(OR(B43="",C43=""),"",F43-G43)</f>
      </c>
      <c r="I43" s="18"/>
    </row>
  </sheetData>
  <mergeCells count="4">
    <mergeCell ref="B1:I1"/>
    <mergeCell ref="K1:L1"/>
    <mergeCell ref="A2:I2"/>
    <mergeCell ref="K10:L10"/>
  </mergeCells>
  <conditionalFormatting sqref="F4:F4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4:H43">
    <cfRule type="cellIs" dxfId="2" priority="3" operator="greaterThan">
      <formula>0</formula>
    </cfRule>
    <cfRule type="cellIs" dxfId="3" priority="4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2026-10-16T07:21:02Z</dcterms:created>
  <dcterms:modified xsi:type="dcterms:W3CDTF">2026-10-16T07:21:02Z</dcterms:modified>
</cp:coreProperties>
</file>